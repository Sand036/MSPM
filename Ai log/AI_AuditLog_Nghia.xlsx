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aomi\.gemini\antigravity\scratch\MSPM-main\Ai log\"/>
    </mc:Choice>
  </mc:AlternateContent>
  <xr:revisionPtr revIDLastSave="0" documentId="13_ncr:1_{707285E2-C9E8-46C4-AB7D-15C4AA8B7C49}" xr6:coauthVersionLast="47" xr6:coauthVersionMax="47" xr10:uidLastSave="{00000000-0000-0000-0000-000000000000}"/>
  <bookViews>
    <workbookView xWindow="-108" yWindow="-108" windowWidth="23256" windowHeight="1317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<sst xmlns="http://schemas.openxmlformats.org/spreadsheetml/2006/main" count="439" uniqueCount="363">
  <si>
    <t>AI AUDIT LOG - METADATA &amp; SUMMARY</t>
  </si>
  <si>
    <t>STUDENT INFORMATION</t>
  </si>
  <si>
    <t>Student Name:</t>
  </si>
  <si>
    <t>Đào Minh Nghĩa</t>
  </si>
  <si>
    <t>Student ID:</t>
  </si>
  <si>
    <t>QE190078</t>
  </si>
  <si>
    <t>Course:</t>
  </si>
  <si>
    <t>CSD201</t>
  </si>
  <si>
    <t>Assignment:</t>
  </si>
  <si>
    <t>Sorting &amp; Binary Search Specialist (Music Streaming Playlist Manager)</t>
  </si>
  <si>
    <t>AI USAGE SUMMARY</t>
  </si>
  <si>
    <t>Total Prompts Used (all AI tools):</t>
  </si>
  <si>
    <t>Core Prompts Logged:</t>
  </si>
  <si>
    <t>3</t>
  </si>
  <si>
    <t>Selection Ratio:</t>
  </si>
  <si>
    <t>Should be 10-20%</t>
  </si>
  <si>
    <t>Hallucination Detected:</t>
  </si>
  <si>
    <t>1</t>
  </si>
  <si>
    <t>AI TOOLS USED</t>
  </si>
  <si>
    <t>AI Tool</t>
  </si>
  <si>
    <t>Purpose</t>
  </si>
  <si>
    <t>Frequency</t>
  </si>
  <si>
    <t>Main Value</t>
  </si>
  <si>
    <t>Gemini 3.1 Pro (High)</t>
  </si>
  <si>
    <t>Thiết kế kiến trúc thuật toán (Merge Sort, Binary Search)</t>
  </si>
  <si>
    <t>ChatGPT</t>
  </si>
  <si>
    <t>Giải thích khái niệm cơ bản, sửa lỗi vặt</t>
  </si>
  <si>
    <t>Tra cứu nhanh, fix bug</t>
  </si>
  <si>
    <t>GitHub Copilot</t>
  </si>
  <si>
    <t>Auto-complete các dòng code lặp đi lặp lại</t>
  </si>
  <si>
    <t>Tăng tốc độ gõ code</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</si>
  <si>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</si>
  <si>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</si>
  <si>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</si>
  <si>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</si>
  <si>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</si>
  <si>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</si>
  <si>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</si>
  <si>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</si>
  <si>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</si>
  <si>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</si>
  <si>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</si>
  <si>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</si>
  <si>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</si>
  <si>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</si>
  <si>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</si>
  <si>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</si>
  <si>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</si>
  <si>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</si>
  <si>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</si>
  <si>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</si>
  <si>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t>
  </si>
  <si>
    <t>Chọn thuật toán sắp xếp phù hợp cho danh sách bài hát.</t>
  </si>
  <si>
    <t>Giữa Quick Sort và Merge Sort, thuật toán nào phù hợp hơn để sắp xếp danh sách bài hát với O(N log N) ổn định?</t>
  </si>
  <si>
    <t>AI đề xuất Merge Sort vì nó là Stable Sort, giữ nguyên thứ tự ban đầu nếu có trùng lặp lượt nghe.</t>
  </si>
  <si>
    <t>Critical Thinking: Merge Sort cần thêm bộ nhớ O(N) nhưng ổn định là rất quan trọng cho playlist.
Decision: Chấp nhận Merge Sort, tự viết thêm Enum SortCriteria để linh hoạt.</t>
  </si>
  <si>
    <t>PlaylistSorter.java source code</t>
  </si>
  <si>
    <t>PROBLEM-SOLVING</t>
  </si>
  <si>
    <t>Sửa lỗi lặp vô hạn trong Binary Search.</t>
  </si>
  <si>
    <t>Hàm Binary Search của tôi bị lặp vô hạn khi không tìm thấy bài hát. Code đang dùng: while(left &lt; right).</t>
  </si>
  <si>
    <t>AI chỉ ra lỗi ở điều kiện lặp, cần sửa thành while(left &lt;= right) để bao phủ trường hợp left == right.</t>
  </si>
  <si>
    <t>Critical Thinking: Kiểm tra lại theory, đúng là thiếu trường hợp left = right.
Decision: Sửa lại điều kiện vòng lặp và cập nhật left = mid + 1, right = mid - 1.</t>
  </si>
  <si>
    <t>Sửa dòng while trong BinarySearcher.java</t>
  </si>
  <si>
    <t>VERIFICATION</t>
  </si>
  <si>
    <t>Tích hợp Binary Search vào Circular Linked List.</t>
  </si>
  <si>
    <t>Hãy viết hàm Binary Search để tìm bài hát trực tiếp trên CircularLinkedList (O(log N)).</t>
  </si>
  <si>
    <t>AI tạo code sử dụng hàm playlist.get(mid) trong vòng lặp nhị phân và khẳng định nó là O(log N).</t>
  </si>
  <si>
    <t>Critical Thinking: HALLUCINATION DETECTED! Linked list không hỗ trợ Random Access (O(1)). Dùng get(mid) sẽ khiến độ phức tạp bị đẩy lên O(N log N) do chi phí duyệt duyệt mảng.
Decision: Bác bỏ code của AI, tự implement thêm bước ép kiểu list về Array trước khi Search.</t>
  </si>
  <si>
    <t>Quá trình chuyển list to array</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</si>
  <si>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</si>
  <si>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</si>
  <si>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</si>
  <si>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</si>
  <si>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</si>
  <si>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</si>
  <si>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</si>
  <si>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</si>
  <si>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Context Misunderstanding / Logic Error</t>
  </si>
  <si>
    <t>AI khẳng định Binary Search trên Circular Linked List qua hàm get(mid) vẫn đạt O(log N).</t>
  </si>
  <si>
    <t>Hàm get(mid) của Linked List mất O(N), làm mất tính chất O(log N) của thuật toán.</t>
  </si>
  <si>
    <t>Phân tích lý thuyết Cấu trúc dữ liệu (Data Structure).</t>
  </si>
  <si>
    <t>Không dùng trực tiếp trên Linked List, chuyển sang Mảng (Array) để truy xuất O(1).</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</si>
  <si>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</si>
  <si>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</si>
  <si>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</si>
  <si>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</si>
  <si>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</si>
  <si>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</si>
  <si>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</si>
  <si>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</si>
  <si>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</si>
  <si>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</si>
  <si>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</si>
  <si>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</si>
  <si>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</si>
  <si>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</si>
  <si>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</si>
  <si>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</si>
  <si>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</si>
  <si>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</si>
  <si>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</si>
  <si>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</si>
  <si>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</si>
  <si>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</si>
  <si>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</si>
  <si>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</si>
  <si>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</si>
  <si>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</si>
  <si>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</si>
  <si>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t>
  </si>
  <si>
    <t>2</t>
  </si>
  <si>
    <t>Nếu không có prompt này, project có thay đổi về architecture/design?</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</si>
  <si>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</si>
  <si>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</si>
  <si>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</si>
  <si>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</si>
  <si>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</si>
  <si>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</si>
  <si>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</si>
  <si>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</si>
  <si>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</si>
  <si>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</si>
  <si>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</si>
  <si>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</si>
  <si>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</si>
  <si>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</si>
  <si>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</si>
  <si>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</si>
  <si>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</si>
  <si>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</si>
  <si>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</si>
  <si>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</si>
  <si>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Phương thức, phạm vi truy cập (+ = public, - = private) → đúng chuẩn, không nhầm lẫn với sơ đồ thực thể ERD.</t>
  </si>
  <si>
    <t>Tách chức năng hợp lý theo nguyên tắc trách nhiệm đơn lẻ.</t>
  </si>
  <si>
    <t>Dùng CircularLinkedList cho danh sách phát nhạc → phù hợp với luồng "chạy hết quay lại đầu".
Dùng HistoryStack (ngăn xếp) để lưu lịch sử → đúng quy tắc LIFO (lưu bài vừa nghe nhất ở đầu).</t>
  </si>
  <si>
    <t>Tư duy phản biện: Phân biệt rõ hai loại sơ đồ:
Sơ đồ lớp UML: Mô tả cấu trúc mã, hành vi, phạm vi truy cập của các lớp trong chương trình.
Sơ đồ ERD: Chỉ mô tả thực thể, dữ liệu và quan hệ giữa các bảng trong cơ sở dữ liệu → không có khái niệm public/private hay phương thức.
Quyết định: Giữ nguyên cấu trúc đã chọn, đảm bảo mỗi lớp chỉ đảm nhận một nhiệm vụ duy nhất, dễ bảo trì và mở rộng sau này.</t>
  </si>
  <si>
    <t>Quy tắc đóng gói áp dụng trong tất cả các lớp (Song, Node, HistoryStack, CircularLinkedList, ...).</t>
  </si>
  <si>
    <t xml:space="preserve">Performance / Requirement Misalignment	</t>
  </si>
  <si>
    <t xml:space="preserve">Đề xuất dùng Quick Sort cho danh sách phát, đảm bảo sắp xếp ổn định và phù hợp cho luồng nghe tuần tự.	</t>
  </si>
  <si>
    <t xml:space="preserve">Quick Sort không phải thuật toán ổn định → phá vỡ thứ tự gốc của các bài hát có cùng giá trị sắp xếp; phù hợp hơn cho dữ liệu không cần giữ thứ tự ban đầu.	</t>
  </si>
  <si>
    <t xml:space="preserve">So sánh đặc điểm thuật toán, kiểm tra yêu cầu chức năng.	</t>
  </si>
  <si>
    <t>Thay bằng Merge Sort (thuật toán ổn định, giữ đúng thứ tự tương đối), thêm enum SortCriteria để quản lý tiêu chí sắp xếp.</t>
  </si>
  <si>
    <t>Implementation / Edge Case Error</t>
  </si>
  <si>
    <t xml:space="preserve">Chỉ sửa điều kiện vòng lặp thành while(left &lt; right) để khắc phục lỗi lặp vô hạn trong Binary Search.	</t>
  </si>
  <si>
    <t xml:space="preserve">Điều kiện này vẫn bỏ qua trường hợp left == right → không kiểm tra vị trí cuối cùng, dẫn đến kết quả tìm kiếm không chính xác.	</t>
  </si>
  <si>
    <t>Kiểm tra lại thuật toán chuẩn, thử nghiệm với trường hợp dữ liệu biên (1 phần tử, không tìm thấy phần tử).</t>
  </si>
  <si>
    <t>Sửa thành while(left &lt;= right), đồng thời cập nhật chỉ số: left = mid + 1, right = mid - 1.</t>
  </si>
  <si>
    <t>Performance / Requirement Misalignment</t>
  </si>
  <si>
    <t>Critical Thinking: Quick Sort không ổn định, làm thay đổi thứ tự gốc của các bài hát có cùng giá trị → không phù hợp với yêu cầu giữ thứ tự danh sách phát.
Decision: Chọn Merge Sort (thuật toán ổn định), thêm SortCriteria để quản lý tiêu chí sắp xếp.</t>
  </si>
  <si>
    <t>Critical Thinking: while(left &lt; right) bỏ qua trường hợp left == right → không kiểm tra hết các vị trí, dễ ra kết quả sai.
Decision: Sửa thành while(left &lt;= right) cùng cập nhật left = mid + 1, right = mid - 1.</t>
  </si>
  <si>
    <t>Algorithms / BinarySearcher</t>
  </si>
  <si>
    <t>Đồng bộ hóa tiêu chí tìm kiếm không phân biệt hoa thường với tiêu chí sắp xếp.</t>
  </si>
  <si>
    <t>BinarySearcher.java:L17</t>
  </si>
  <si>
    <t>Algorithms / PlaylistSorter</t>
  </si>
  <si>
    <t>Đảm bảo tính ổn định (stability) của thuật toán Merge Sort trong bước trộn (merge).</t>
  </si>
  <si>
    <t>PlaylistSorter.java:L68</t>
  </si>
  <si>
    <t>Performance / PlaylistSorter</t>
  </si>
  <si>
    <t>Tối ưu hóa việc cấp phát bộ nhớ mảng phụ trong thuật toán Merge Sort.</t>
  </si>
  <si>
    <t>PlaylistSorter.java:L15</t>
  </si>
  <si>
    <t>Abstraction / PlaylistSorter</t>
  </si>
  <si>
    <t>Thiết kế API sắp xếp tối giản và tránh lặp mã.</t>
  </si>
  <si>
    <t>Tôi cần sắp xếp bài hát theo ID, Title, Artist, Play Count. Nên viết 4 hàm sắp xếp riêng biệt hay dùng Enum?</t>
  </si>
  <si>
    <t>PlaylistSorter.java:L7-L9</t>
  </si>
  <si>
    <t>Sắp xếp CircularLinkedList hiệu quả và an toàn.</t>
  </si>
  <si>
    <t>Nên triển khai Merge Sort trực tiếp trên các liên kết node của CircularLinkedList hay chuyển sang mảng rồi sắp xếp?</t>
  </si>
  <si>
    <t>AI đề xuất viết Merge Sort trực tiếp trên danh sách liên kết kép vòng tròn bằng cách đệ quy cắt liên kết và nối lại.</t>
  </si>
  <si>
    <t>PlaylistSorter.java:L11</t>
  </si>
  <si>
    <t>Sắp xếp theo lượt nghe (Play Count) giảm dần (bài nghe nhiều nhất lên đầu).</t>
  </si>
  <si>
    <t>PlaylistSorter.java:L90</t>
  </si>
  <si>
    <t>Xử lý trùng lặp giá trị khóa tìm kiếm trong Binary Search.</t>
  </si>
  <si>
    <t>Hàm tìm kiếm nhị phân theo Artist sẽ trả về kết quả gì nếu một Artist có nhiều bài hát trong playlist?</t>
  </si>
  <si>
    <t>AI trả về khẳng định: Binary Search sẽ trả về bài hát đầu tiên trong danh sách của nghệ sĩ đó.</t>
  </si>
  <si>
    <t>BinarySearcher.java:L39</t>
  </si>
  <si>
    <t>Tránh lỗi tràn số nguyên khi tính chỉ số giữa (midpoint) của mảng lớn.</t>
  </si>
  <si>
    <t>BinarySearcher.java:L16</t>
  </si>
  <si>
    <t>Abstraction / UML Class Diagram</t>
  </si>
  <si>
    <t>Biểu diễn đúng các phương thức tĩnh (static utility methods) trong Sơ đồ lớp.</t>
  </si>
  <si>
    <t>AI đề xuất biểu diễn chúng như phương thức thông thường, vì UML không cần phân biệt tĩnh hay không tĩnh ở mức thiết kế sơ bộ.</t>
  </si>
  <si>
    <t>class_diagram_f.png</t>
  </si>
  <si>
    <t>Abstraction / UML Use Case</t>
  </si>
  <si>
    <t>Xác định tác nhân (actor) hệ thống đúng quy chuẩn.</t>
  </si>
  <si>
    <t>Use_Case_Diagram.png</t>
  </si>
  <si>
    <t>Abstraction / UML Flowchart</t>
  </si>
  <si>
    <t>Sửa lỗi cú pháp hiển thị sơ đồ Mermaid khi có dấu ngoặc đơn.</t>
  </si>
  <si>
    <t>AI đề xuất xóa dấu ngoặc đơn đi và thay bằng văn bản thuần không có ký tự đặc biệt.</t>
  </si>
  <si>
    <t>Flowchart.png</t>
  </si>
  <si>
    <t>Ràng buộc kiểm tra mảng Null/Rỗng trước khi duyệt nhị phân.</t>
  </si>
  <si>
    <t>BinarySearcher.java:L8-L10</t>
  </si>
  <si>
    <t>Tránh tác dụng phụ (side-effect) biến đổi mảng gốc khi sắp xếp playlist.</t>
  </si>
  <si>
    <t>AI khuyên nên sắp xếp in-place trực tiếp trên tham chiếu mảng truyền vào để tiết kiệm bộ nhớ và tránh chi phí clone mảng.</t>
  </si>
  <si>
    <t>PlaylistSorter.java:L21</t>
  </si>
  <si>
    <t>Tìm kiếm nhị phân theo tiêu đề bài hát bằng Java nên dùng compareTo hay compareToIgnoreCase? Mảng bài hát trước đó cần sắp xếp thế nào?</t>
  </si>
  <si>
    <t>AI đề xuất dùng compareToIgnoreCase khi tìm kiếm để người dùng tìm dễ dàng hơn. Mảng sắp xếp theo cách nào cũng được miễn là theo thứ tự bảng chữ cái.</t>
  </si>
  <si>
    <t>Trong bước trộn của Merge Sort, tôi viết: if (temp[i].compareTo(temp[j]) &lt; 0). Điều này có giữ được tính ổn định của thuật toán không?</t>
  </si>
  <si>
    <t>AI khẳng định toán tử &lt; hoàn toàn đúng và giữ được tính ổn định của Merge Sort khi gộp hai mảng con.</t>
  </si>
  <si>
    <t>Cấp phát bộ nhớ cho mảng phụ temp trong Merge Sort nên đặt ở trong hàm đệ quy merge hay đặt ở hàm khởi tạo bên ngoài?</t>
  </si>
  <si>
    <t>AI đề xuất tạo mảng phụ temp có kích thước bằng phân đoạn cần trộn trực tiếp bên trong hàm merge để tiết kiệm bộ nhớ cho các đoạn nhỏ.</t>
  </si>
  <si>
    <t>AI đề xuất viết 4 phương thức sắp xếp riêng biệt (sortById, sortByTitle, ...) để tránh viết câu lệnh rẽ nhánh switch phức tạp trong thuật toán.</t>
  </si>
  <si>
    <t>Triển khai so sánh lượt nghe trong compare để đưa bài hát có lượt nghe nhiều nhất lên đầu playlist.</t>
  </si>
  <si>
    <t>AI đề xuất dùng so sánh tăng dần mặc định: Integer.compare(s1.getPlayCount(), s2.getPlayCount()).</t>
  </si>
  <si>
    <t>Công thức tính chỉ số giữa mid chuẩn trong Binary Search là gì?</t>
  </si>
  <si>
    <t>AI đề xuất: int mid = (left + right) / 2;</t>
  </si>
  <si>
    <t>Lớp BinarySearcher chứa toàn bộ các phương thức static. Cần vẽ chúng thế nào trong sơ đồ lớp UML?</t>
  </si>
  <si>
    <t>Biểu diễn quan hệ lồng nhau (nested enum) của SortCriteria trong PlaylistSorter.</t>
  </si>
  <si>
    <t>Nên đặt enum SortCriteria thành một lớp độc lập hay vẽ lồng trong lớp PlaylistSorter trên sơ đồ UML?</t>
  </si>
  <si>
    <t>AI vẽ SortCriteria thành một lớp độc lập bên ngoài để đơn giản hóa việc nối mũi tên quan hệ.</t>
  </si>
  <si>
    <t>MainServer xử lý kết nối và điều phối yêu cầu, có nên đưa nó làm Actor trong Use Case Diagram không?</t>
  </si>
  <si>
    <t>AI trả lời: Nên đưa MainServer làm Actor vì nó là thực thể gửi yêu cầu điều phối tới các service.</t>
  </si>
  <si>
    <t>Tôi viết flowchart Mermaid có chứa dấu ngoặc đơn như A[Compare(mid, target)] nhưng công cụ hiển thị báo lỗi cú pháp. Sửa thế nào?</t>
  </si>
  <si>
    <t>Có cần kiểm tra playlist == null ở đầu hàm Binary Search không, hay vòng lặp while tự handle được?</t>
  </si>
  <si>
    <t>AI khẳng định vòng lặp while (left &lt;= right) sẽ tự kết thúc nếu mảng rỗng vì right lúc đó bằng -1, do đó không cần kiểm tra đầu vào.</t>
  </si>
  <si>
    <t>Hàm sortByTitle(Song[] songs) nên sắp xếp trực tiếp trên mảng songs tham chiếu hay clone ra mảng mới?</t>
  </si>
  <si>
    <t>Tư duy phản biện: AI sai về nguyên lý sắp xếp. Nếu tìm kiếm không phân biệt hoa thường (compareToIgnoreCase), mảng đầu vào BẮT BUỘC phải được sắp xếp không phân biệt hoa thường. Nếu mảng xếp phân biệt hoa thường (ký tự hoa đứng trước ký tự thường) mà tìm kiếm bỏ qua hoa thường, thuật toán sẽ bỏ sót phần tử.</t>
  </si>
  <si>
    <t>Quyết định: Đồng bộ cả PlaylistSorter.java và BinarySearcher.java dùng compareToIgnoreCase.</t>
  </si>
  <si>
    <t>Tư duy phản biện: AI sai lý thuyết. Sử dụng strictly &lt; sẽ làm mất tính ổn định. Khi hai phần tử bằng nhau, phần tử bên mảng con phải (temp[j]) sẽ được lấy trước, làm đảo lộn thứ tự gốc. Phải dùng &lt;= 0 để phần tử bên trái (temp[i]) được ưu tiên.</t>
  </si>
  <si>
    <t>Quyết định: Sửa điều kiện so sánh thành compare(...) &lt;= 0.</t>
  </si>
  <si>
    <t>Tư duy phản biện: Tạo mảng phụ liên tục trong hàm đệ quy sẽ cấp phát $O(N \log N)$ mảng con, gây overhead cực lớn cho Garbage Collector khi sắp xếp playlist 10.000 bài.</t>
  </si>
  <si>
    <t>Quyết định: Tạo duy nhất một mảng phụ temp có kích thước bằng mảng gốc ở hàm gọi ngoài cùng mergeSort, rồi truyền tham chiếu vào các hàm con để tái sử dụng.</t>
  </si>
  <si>
    <t>Tư duy phản biện: Viết 4 hàm đệ quy Merge Sort riêng sẽ làm trùng lặp toàn bộ logic thuật toán sắp xếp. Quy tắc Don't Repeat Yourself (DRY) là tối thượng.</t>
  </si>
  <si>
    <t>Quyết định: Thiết kế Enum SortCriteria, viết một hàm đệ quy generic duy nhất chấp nhận SortCriteria và viết 4 hàm wrapper đơn giản thực hiện clone mảng và gọi hàm chung.</t>
  </si>
  <si>
    <t>Tư duy phản biện: Thao tác con trỏ trên danh sách liên kết vòng tròn cực kỳ phức tạp và dễ gây lặp vô hạn. Việc chuyển LinkedList thành mảng Song[], sắp xếp mảng trong $O(N \log N)$ rồi dựng lại list sẽ nhanh, an toàn và dễ kiểm thử hơn nhiều.</t>
  </si>
  <si>
    <t>Quyết định: PlaylistSorter chỉ thao tác sắp xếp trên mảng Song[].</t>
  </si>
  <si>
    <t>Tư duy phản biện: Sắp xếp lượt nghe của playlist nhạc thì bài nghe nhiều nhất phải đứng trước (giảm dần). Công thức của AI làm bài nghe ít nhất lên đầu.</t>
  </si>
  <si>
    <t>Quyết định: Đảo ngược thứ tự đối số trong Integer.compare(s2.getPlayCount(), s1.getPlayCount()) để thu được thứ tự giảm dần.</t>
  </si>
  <si>
    <t>Tư duy phản biện: Sai toán học. Binary Search tiêu chuẩn chỉ trả về một vị trí khớp bất kỳ (phụ thuộc vào vị trí mid được chia đôi). Không đảm bảo là phần tử đầu tiên.</t>
  </si>
  <si>
    <t>Quyết định: Ghi chú Javadoc giới hạn thuật toán: Để tìm tất cả hoặc bài đầu tiên của nghệ sĩ, cần thực hiện linear scan từ vị trí tìm thấy hoặc dùng cấu trúc dữ liệu bổ trợ.</t>
  </si>
  <si>
    <t>Tư duy phản biện: Công thức này gây lỗi tràn số nguyên (integer overflow) khi mảng rất lớn (tổng left + right vượt 2^31 - 1), làm chỉ số thành âm và ném ArrayIndexOutOfBoundsException. Mặc dù dataset test hiện tại 10k dòng chưa bị tràn, nhưng đây là best practice cần tuân thủ.</t>
  </si>
  <si>
    <t>Quyết định: Sửa thành int mid = left + (right - left) / 2;.</t>
  </si>
  <si>
    <t>Tư duy phản biện: Trong chuẩn UML, các phương thức tĩnh (static) phải được gạch chân để phân biệt với phương thức thực thể. Nếu không gạch chân, người đọc sẽ hiểu lầm cần phải instantiate đối tượng BinarySearcher trước khi dùng.</t>
  </si>
  <si>
    <t>Quyết định: Thêm gạch chân cho các phương thức tĩnh của BinarySearcher trong Class Diagram.</t>
  </si>
  <si>
    <t>Tư duy phản biện: Trong code Java thực tế, SortCriteria nằm bên trong lớp PlaylistSorter. Biểu diễn độc lập làm mất đi ngữ cảnh cấu trúc lồng nhau (inner enum).</t>
  </si>
  <si>
    <t>Tư duy phản biện: Tác nhân (Actor) trong Use Case phải là thực thể nằm ngoài biên hệ thống (User hoặc phần cứng/phần mềm ngoại vi tương tác với hệ thống). MainServer là thành phần nội bộ của hệ thống nên không thể là Actor.</t>
  </si>
  <si>
    <t>Quyết định: Loại bỏ MainServer khỏi danh sách tác nhân, giữ lại duy nhất tác nhân "User".</t>
  </si>
  <si>
    <t>Tư duy phản biện: Việc xóa ngoặc làm mất đi ý nghĩa gọi hàm trong lập trình. Trong Mermaid, ta có thể giữ nguyên dấu ngoặc đơn nếu bọc chuỗi trong dấu nháy kép "". Ví dụ: A["Compare(mid, target)"]. Cách này giữ được ngữ cảnh kỹ thuật.</t>
  </si>
  <si>
    <t>Quyết định: Đóng ngoặc kép văn bản chứa dấu ngoặc đơn trong mã nguồn sơ đồ.</t>
  </si>
  <si>
    <t>Tư duy phản biện: Nếu mảng truyền vào là null, dòng lệnh int right = playlist.length - 1 sẽ ném ra NullPointerException ngay lập tức trước khi chạm được tới vòng lặp while. Kiểm tra null là bắt buộc.</t>
  </si>
  <si>
    <t>Quyết định: Thêm điều kiện if (playlist == null || playlist.length == 0) return -1; ở đầu mỗi phương thức tìm kiếm.</t>
  </si>
  <si>
    <t>Tư duy phản biện: Nếu sắp xếp in-place trực tiếp, thứ tự chơi nhạc hiện tại của người dùng sẽ bị thay đổi vĩnh viễn ngoài ý muốn. Người dùng chỉ muốn xem danh sách được sắp xếp tạm thời chứ không muốn ghi đè thứ tự phát gốc.</t>
  </si>
  <si>
    <t>Nếu mảng được xếp phân biệt hoa thường (ví dụ: chữ hoa 'Z' đứng trước chữ thường 'a' theo chuẩn ASCII) nhưng hàm tìm kiếm lại so sánh không phân biệt hoa thường, Binary Search sẽ bỏ sót phần tử vì sự bất đồng nhất về quy luật phân vùng trái/phải.</t>
  </si>
  <si>
    <t>Implementation Error</t>
  </si>
  <si>
    <t>Chạy thử nghiệm thuật toán với một danh sách bài hát có các lượt nghe trùng nhau, nhận thấy thứ tự xuất hiện ban đầu của chúng bị thay đổi sau khi sắp xếp.</t>
  </si>
  <si>
    <t>Performance Misalignment</t>
  </si>
  <si>
    <t>Cấp phát mảng liên tục trong quá trình đệ quy sinh ra $O(N \log N)$ đối tượng rác trong heap, làm quá tải Garbage Collector và giảm hiệu năng nghiêm trọng đối với tập dữ liệu lớn (10.000 bài hát).</t>
  </si>
  <si>
    <t>Binary Search tiêu chuẩn sẽ luôn trả về chỉ số của bài hát đầu tiên tìm thấy đối với các nghệ sĩ có nhiều bài hát trùng lặp.</t>
  </si>
  <si>
    <t>Binary Search chỉ đảm bảo tìm ra một vị trí khớp bất kỳ trong mảng. Vị trí đó có thể nằm giữa, đầu hoặc cuối phân đoạn trùng lặp tùy thuộc vào số lần chia đôi mảng.</t>
  </si>
  <si>
    <t>Phân tích lý thuyết thuật toán tìm kiếm nhị phân và chạy thử nghiệm tìm kiếm với nghệ sĩ có 5 bài hát; kết quả trả về bài hát ở vị trí thứ 3 chứ không phải bài số 1.</t>
  </si>
  <si>
    <t>Sửa đổi Javadoc của hàm tìm kiếm nhị phân chỉ rõ giới hạn này. Nếu muốn lấy bài đầu tiên hoặc tất cả bài hát của nghệ sĩ, lập trình viên cần dùng linear scan hoặc cấu trúc dữ liệu khác.</t>
  </si>
  <si>
    <t>Đối chiếu với tài liệu quy chuẩn phân tích thiết kế hệ thống phần mềm (UML Specification).</t>
  </si>
  <si>
    <t>Tìm kiếm nhị phân chỉ hoạt động chính xác khi danh sách đã được sắp xếp theo đúng trường khóa đang tìm kiếm. Nếu playlist đang sắp xếp theo tiêu đề (Title) mà tìm nhị phân theo Artist, thuật toán sẽ đi sai hướng chia đôi mảng và trả về kết quả lỗi.</t>
  </si>
  <si>
    <t>Thứ tự sắp xếp của mảng không ảnh hưởng đến tính đúng đắn của hàm tìm kiếm nhị phân không phân biệt hoa thường (compareToIgnoreCase), miễn là mảng được xếp theo bảng chữ cái.</t>
  </si>
  <si>
    <t>Đọc mã nguồn, nhận thấy sự lệch pha giữa tiêu chí so sánh trong tìm kiếm (compareToIgnoreCase) và sắp xếp mặc định của hệ thống trước đó.</t>
  </si>
  <si>
    <t>Đồng bộ hóa tiêu chí so sánh trong cả hai lớp PlaylistSorter và BinarySearcher thành không phân biệt chữ hoa chữ thường.</t>
  </si>
  <si>
    <t>Toán tử strictly &lt; trong bước so sánh gộp (merge) của Merge Sort vẫn đảm bảo tính ổn định (stable sorting) cho thuật toán.</t>
  </si>
  <si>
    <t>Sử dụng &lt; sẽ làm mất tính ổn định. Khi hai phần tử có cùng giá trị, phần tử ở mảng con bên phải sẽ bị chèn lên trước phần tử ở mảng con bên trái, làm đảo lộn thứ tự ban đầu của chúng. Phải dùng &lt;= 0.</t>
  </si>
  <si>
    <t>Thay thế toán tử so sánh từ &lt; thành &lt;= trong hàm merge của PlaylistSorter.</t>
  </si>
  <si>
    <t>Cấp phát mảng phụ temp cục bộ bên trong hàm đệ quy merge mỗi lần gộp là tối ưu nhất vì nó giảm thời gian tồn tại của mảng trong bộ nhớ.</t>
  </si>
  <si>
    <t>Chạy đo thời gian thực thi (profiling) giải thuật sắp xếp với mảng dữ liệu 10.000 bài hát sinh từ SongDataGenerator. Nhận thấy thời gian sắp xếp chậm do GC ngắt tiến trình liên tục.</t>
  </si>
  <si>
    <t>Khai báo và cấp phát mảng phụ temp một lần duy nhất tại hàm khởi tạo mergeSort ở ngoài cùng, sau đó chuyển tham chiếu này qua các cuộc gọi đệ quy.</t>
  </si>
  <si>
    <t>MainServer là một Actor trong sơ đồ ca sử dụng (Use Case Diagram) vì nó trực tiếp khởi chạy hệ thống và xử lý luồng yêu cầu.</t>
  </si>
  <si>
    <t>Actor trong Use Case bắt buộc phải là thực thể tác động bên ngoài hệ thống. MainServer là một thành phần kỹ thuật nằm trong biên hệ thống (system boundary) nên không thể làm tác động độc lập.</t>
  </si>
  <si>
    <t>Loại bỏ MainServer khỏi sơ đồ Use Case, đưa nó vào bên trong biên hệ thống và chỉ giữ lại tác nhân thực tế tương tác là "User".</t>
  </si>
  <si>
    <t>Có thể gọi hàm tìm kiếm nhị phân theo nghệ sĩ (binarySearchByArtist) trực tiếp trên playlist hiện tại bất kỳ lúc nào mà không cần quan tâm đến trạng thái sắp xếp của danh sách.</t>
  </si>
  <si>
    <t>Viết test case tìm kiếm nghệ sĩ trên playlist chưa sắp xếp theo nghệ sĩ; thuật toán trả về -1 (không tìm thấy) mặc dù nghệ sĩ đó có bài hát trong danh sách.</t>
  </si>
  <si>
    <t>Cập nhật tài liệu kỹ thuật và thêm comment khuyến cáo lập trình viên phải gọi hàm sắp xếp PlaylistSorter.sortByArtist trước khi thực hiện tìm kiếm nhị phân theo nghệ sĩ.</t>
  </si>
  <si>
    <t>Định hình cấu trúc giải thuật và xử lý triệt để các ca biên đặc thù.</t>
  </si>
  <si>
    <t>Có, ảnh hưởng trực tiếp đến hiệu năng (GC) và tính toàn vẹn của mô hình UML.</t>
  </si>
  <si>
    <t>Giải thích rất chi tiết tại mục Human Delta ở từng Entry trong log.</t>
  </si>
  <si>
    <t>Đầy đủ đường dẫn đến các file code nguồn Java và các tệp sơ đồ tương ứng.</t>
  </si>
  <si>
    <t>Thể hiện qua việc bác bỏ và sửa lỗi thuật toán đệ quy/logic tìm kiếm của AI.</t>
  </si>
  <si>
    <t>26 entries (Đầy đủ và phân bổ đều).</t>
  </si>
  <si>
    <t>Đạt (Decomposition: 6, Pattern: 8, Abstraction: 12).</t>
  </si>
  <si>
    <t>9 cases (Đạt yêu cầu ≥ 3 cases của đề tài).</t>
  </si>
  <si>
    <t>100% entries đều điền đủ 4 nội dung phản biện của Human Delta.</t>
  </si>
  <si>
    <t>100% entries có bằng chứng cụ thể dẫn tới mã nguồn/sơ đồ.</t>
  </si>
  <si>
    <t>AI đề xuất Merge Sort là đúng lý thuyết nhưng thiếu cơ chế mở rộng enum điều kiện.</t>
  </si>
  <si>
    <t>Hàm chuyển đổi LinkedList sang Array</t>
  </si>
  <si>
    <t>Chọn Merge Sort vì đây là thuật toán sắp xếp ổn định (stable sort), giúp giữ nguyên thứ tự phát tương đối của các bài hát có cùng lượt nghe (khác biệt với Quick Sort vốn không ổn định).</t>
  </si>
  <si>
    <t>Lớp PlaylistSorter.java</t>
  </si>
  <si>
    <t>Thay đổi điều kiện vòng lặp Binary Search từ left &lt; right thành left &lt;= right và cập nhật chỉ số mid + 1 / mid - 1 để đảm bảo bao phủ được phần tử biên cuối cùng và tránh lặp vô hạn.</t>
  </si>
  <si>
    <t>AI đề xuất sửa đổi điều kiện while từ &lt; thành &lt;=.</t>
  </si>
  <si>
    <t>Lớp BinarySearcher.java</t>
  </si>
  <si>
    <t>Bác bỏ việc gọi trực tiếp get(mid) trên LinkedList (tốn $O(N)$). Quyết định chuyển list sang Array Song[] để truy xuất $O(1)$, thực thi Binary Search đạt hiệu năng $O(\log N)$ tối ưu.</t>
  </si>
  <si>
    <t>AI khẳng định dùng playlist.get(mid) trực tiếp trên CDLL vẫn đạt độ phức tạp $O(\log N)$ (Sai).</t>
  </si>
  <si>
    <t>Explanation</t>
  </si>
  <si>
    <t>Algorithm</t>
  </si>
  <si>
    <t>Không hiểu Merge Sort hoạt động</t>
  </si>
  <si>
    <t>Giải thích Merge Sort</t>
  </si>
  <si>
    <t>AI giải thích Divide &amp; Conquer, chia mảng rồi merge và độ phức tạp O(n log n).</t>
  </si>
  <si>
    <t>Hiểu rõ nguyên lý Merge Sort để chuẩn bị báo cáo.</t>
  </si>
  <si>
    <t>Chat log</t>
  </si>
  <si>
    <t>Verification</t>
  </si>
  <si>
    <t>Kiểm tra danh sách bài hát đã sắp xếp chưa</t>
  </si>
  <si>
    <t>Các bài hát này đã được sắp xếp A→Z chưa?</t>
  </si>
  <si>
    <t>AI xác định danh sách chưa được sắp xếp theo tiêu đề và đưa ra thứ tự đúng.</t>
  </si>
  <si>
    <t>Xác nhận dữ liệu hiển thị sai so với mong muốn.</t>
  </si>
  <si>
    <t>Code Review</t>
  </si>
  <si>
    <t>PlaylistSorter</t>
  </si>
  <si>
    <t>Kiểm tra thuật toán Merge Sort</t>
  </si>
  <si>
    <t>Kiểm tra class PlaylistSorter</t>
  </si>
  <si>
    <t>AI đánh giá thuật toán Merge Sort đúng, compare() đúng, stable sort.</t>
  </si>
  <si>
    <t>Giữ nguyên PlaylistSorter, tiếp tục tìm lỗi nơi khác.</t>
  </si>
  <si>
    <t>PlaylistSorter.java</t>
  </si>
  <si>
    <t>Debugging</t>
  </si>
  <si>
    <t>MainServer</t>
  </si>
  <si>
    <t>Sửa MainServer để có sort</t>
  </si>
  <si>
    <t>Đã thêm code nhưng giao diện vẫn chưa thay đổi.</t>
  </si>
  <si>
    <t>MainServer.java</t>
  </si>
  <si>
    <t>Frontend/API</t>
  </si>
  <si>
    <t>Nghi ngờ HTML hoặc JavaScript</t>
  </si>
  <si>
    <t>Có cần sửa HTML không?</t>
  </si>
  <si>
    <t>Xác định frontend chưa phải nguyên nhân.</t>
  </si>
  <si>
    <t>api.js</t>
  </si>
  <si>
    <t>Runtime</t>
  </si>
  <si>
    <t>Server báo Address already in use</t>
  </si>
  <si>
    <t>Server không chạy được</t>
  </si>
  <si>
    <t>Dừng tiến trình Java cũ rồi chạy lại thành công.</t>
  </si>
  <si>
    <t>Terminal log</t>
  </si>
  <si>
    <t>Investigation</t>
  </si>
  <si>
    <t>Không thấy Merge Sort hoạt động</t>
  </si>
  <si>
    <t>Đã chạy lại server nhưng không sort</t>
  </si>
  <si>
    <t>Phát hiện chưa có log, tiếp tục kiểm tra endpoint.</t>
  </si>
  <si>
    <t>Analysis</t>
  </si>
  <si>
    <t>API Flow</t>
  </si>
  <si>
    <t>Không rõ frontend gọi endpoint nào</t>
  </si>
  <si>
    <t>Xác định cần kiểm tra luồng gọi API.</t>
  </si>
  <si>
    <t>Reflection</t>
  </si>
  <si>
    <t>Xác định nguyên nhân không phải Merge Sort</t>
  </si>
  <si>
    <t>Vì sao vẫn chưa sort?</t>
  </si>
  <si>
    <t>AI kết luận Merge Sort đúng, nghi ngờ MainServer hoặc endpoint.</t>
  </si>
  <si>
    <t>Chuyển hướng kiểm tra luồng xử lý thay vì sửa thuật toán.</t>
  </si>
  <si>
    <t>Technical Support</t>
  </si>
  <si>
    <t>VS Code chạy nhiều server</t>
  </si>
  <si>
    <t>Server chạy nhưng không cập nhật code</t>
  </si>
  <si>
    <t>AI hướng dẫn kiểm tra PID, taskkill và restart server đúng cách.</t>
  </si>
  <si>
    <t>Biết cách xử lý lỗi bind port trong VS Code.</t>
  </si>
  <si>
    <t>Thêm Merge Sort vào endpoint /csv-songs</t>
  </si>
  <si>
    <t>AI hướng dẫn thêm PlaylistSorter.sortByTitle() sau khi filter.</t>
  </si>
  <si>
    <t>AI kiểm tra api.js và kết luận API không có lỗi.</t>
  </si>
  <si>
    <t>AI xác định cổng 8085 đang bị chiếm và hướng dẫn dùng netstat, taskkill.</t>
  </si>
  <si>
    <t>AI yêu cầu in System.out.println() để kiểm tra hàm sortByTitle() có được gọi không.</t>
  </si>
  <si>
    <t>Tìm getCsvSongs()</t>
  </si>
  <si>
    <t>AI yêu cầu kiểm tra file player.js/search.js để xác nhận request /csv-songs.</t>
  </si>
  <si>
    <t>Incorrect Assumption</t>
  </si>
  <si>
    <t>Sau khi thêm code, danh sách vẫn giữ nguyên thứ tự.</t>
  </si>
  <si>
    <t>Chạy chương trình và kiểm tra giao diện.</t>
  </si>
  <si>
    <t>Tiếp tục kiểm tra endpoint và luồng gọi API thay vì chỉ sửa thuật toán.</t>
  </si>
  <si>
    <t>Đối chiếu cấu trúc project và các file JavaScript.</t>
  </si>
  <si>
    <t>Kiểm tra toàn bộ luồng frontend trước khi kết luận.</t>
  </si>
  <si>
    <t>Premature Conclusion</t>
  </si>
  <si>
    <t>So sánh với trạng thái thực tế của project.</t>
  </si>
  <si>
    <t>Yêu cầu xem toàn bộ MainServer.java và kiểm tra endpoint thực tế trước khi kết luận.</t>
  </si>
  <si>
    <t>AI cho rằng chỉ cần thêm Merge Sort vào MainServer là danh sách sẽ được sắp xếp.</t>
  </si>
  <si>
    <t>AI kết luận api.js không phải nguyên nhân.</t>
  </si>
  <si>
    <t>Chưa đủ bằng chứng vì chưa kiểm tra file player.js/search.js nơi gọi getCsvSongs().</t>
  </si>
  <si>
    <t>AI kết luận lỗi nằm ở MainServer chứ không phải PlaylistSorter.</t>
  </si>
  <si>
    <t>Chưa có đủ dữ liệu để khẳng định vì chưa xem toàn bộ MainServer.java.</t>
  </si>
  <si>
    <t>Tối ưu độ phức tạp thời gian, code java, console</t>
  </si>
  <si>
    <t>Dola AI</t>
  </si>
  <si>
    <t>Hỏi nhanh, present, đôi khi code</t>
  </si>
  <si>
    <t>High (40%)</t>
  </si>
  <si>
    <t>Medium (10%)</t>
  </si>
  <si>
    <t>Low (10%)</t>
  </si>
  <si>
    <t>Hiểu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</si>
</sst>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sz val="10"/>
      <name val="Calibri"/>
    </font>
    <font>
      <b/>
      <sz val="12"/>
      <color rgb="FFFF0000"/>
      <name val="Calibri"/>
    </font>
    <font>
      <sz val="11"/>
      <color rgb="FFFF0000"/>
      <name val="Calibri"/>
    </font>
    <font>
      <i/>
      <sz val="10"/>
      <name val="Calibri"/>
    </font>
    <font>
      <sz val="12"/>
      <color theme="1"/>
      <name val="Times New Roman"/>
      <family val="1"/>
    </font>
    <font>
      <i/>
      <sz val="12"/>
      <color rgb="FF666666"/>
      <name val="Times New Roman"/>
      <family val="1"/>
    </font>
    <font>
      <sz val="12"/>
      <color rgb="FF2E75B6"/>
      <name val="Times New Roman"/>
      <family val="1"/>
    </font>
    <font>
      <sz val="12"/>
      <color rgb="FFFFFFFF"/>
      <name val="Times New Roman"/>
      <family val="1"/>
    </font>
    <font>
      <b/>
      <sz val="12"/>
      <color rgb="FFFF0000"/>
      <name val="Times New Roman"/>
      <family val="1"/>
    </font>
    <font>
      <b/>
      <i/>
      <sz val="12"/>
      <color rgb="FFFF0000"/>
      <name val="Times New Roman"/>
      <family val="1"/>
    </font>
    <font>
      <b/>
      <sz val="12"/>
      <color theme="0"/>
      <name val="Times New Roman"/>
      <family val="1"/>
    </font>
    <font>
      <sz val="10"/>
      <name val="Calibri"/>
      <family val="2"/>
    </font>
    <font>
      <sz val="12"/>
      <name val="Times New Roman"/>
      <family val="1"/>
    </font>
  </fonts>
  <fills count="6">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theme="0"/>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bottom style="thin">
        <color rgb="FFCCCCCC"/>
      </bottom>
      <diagonal/>
    </border>
  </borders>
  <cellStyleXfs count="1">
    <xf numFmtId="0" fontId="0" fillId="0" borderId="0"/>
  </cellStyleXfs>
  <cellXfs count="4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8" fillId="0" borderId="0" xfId="0" applyFont="1"/>
    <xf numFmtId="0" fontId="9" fillId="0" borderId="0" xfId="0" applyFont="1"/>
    <xf numFmtId="0" fontId="10" fillId="0" borderId="0" xfId="0" applyFont="1"/>
    <xf numFmtId="0" fontId="11" fillId="0" borderId="0" xfId="0" applyFont="1"/>
    <xf numFmtId="0" fontId="14" fillId="3" borderId="2" xfId="0" applyFont="1" applyFill="1" applyBorder="1" applyAlignment="1">
      <alignment horizontal="center" vertical="center" wrapText="1"/>
    </xf>
    <xf numFmtId="0" fontId="11" fillId="0" borderId="2" xfId="0" applyFont="1" applyBorder="1" applyAlignment="1">
      <alignment horizontal="left" vertical="top" wrapText="1"/>
    </xf>
    <xf numFmtId="0" fontId="11" fillId="5" borderId="2" xfId="0" applyFont="1" applyFill="1" applyBorder="1" applyAlignment="1">
      <alignment horizontal="left" vertical="center" wrapText="1"/>
    </xf>
    <xf numFmtId="0" fontId="0" fillId="0" borderId="3" xfId="0" applyBorder="1" applyAlignment="1">
      <alignment horizontal="left" vertical="top" wrapText="1"/>
    </xf>
    <xf numFmtId="0" fontId="11" fillId="5" borderId="2" xfId="0" applyFont="1" applyFill="1" applyBorder="1" applyAlignment="1">
      <alignment horizontal="left" vertical="top" wrapText="1"/>
    </xf>
    <xf numFmtId="0" fontId="17" fillId="3" borderId="2" xfId="0" applyFont="1" applyFill="1" applyBorder="1" applyAlignment="1">
      <alignment horizontal="center" vertical="center" wrapText="1"/>
    </xf>
    <xf numFmtId="0" fontId="18" fillId="0" borderId="1" xfId="0" applyFont="1" applyBorder="1" applyAlignment="1">
      <alignment horizontal="left" vertical="top" wrapText="1"/>
    </xf>
    <xf numFmtId="0" fontId="19" fillId="5" borderId="2" xfId="0" applyFont="1" applyFill="1" applyBorder="1" applyAlignment="1">
      <alignment horizontal="center" vertical="center" wrapText="1"/>
    </xf>
    <xf numFmtId="0" fontId="19" fillId="5"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top" wrapText="1"/>
    </xf>
    <xf numFmtId="0" fontId="11" fillId="0" borderId="2" xfId="0" applyFont="1" applyBorder="1" applyAlignment="1">
      <alignment vertical="center" wrapText="1"/>
    </xf>
    <xf numFmtId="0" fontId="11" fillId="0" borderId="2" xfId="0" applyFont="1" applyBorder="1" applyAlignment="1">
      <alignment horizontal="left" vertical="center" wrapText="1"/>
    </xf>
    <xf numFmtId="0" fontId="1" fillId="0" borderId="0" xfId="0" applyFont="1" applyAlignment="1">
      <alignment horizontal="center" vertical="center" wrapText="1"/>
    </xf>
    <xf numFmtId="0" fontId="0" fillId="0" borderId="0" xfId="0"/>
    <xf numFmtId="0" fontId="12" fillId="0" borderId="0" xfId="0" applyFont="1" applyAlignment="1">
      <alignment horizontal="left" vertical="top" wrapText="1"/>
    </xf>
    <xf numFmtId="0" fontId="11" fillId="0" borderId="0" xfId="0" applyFont="1"/>
    <xf numFmtId="0" fontId="13" fillId="0" borderId="0" xfId="0" applyFont="1" applyAlignment="1">
      <alignment horizontal="center" vertical="center" wrapText="1"/>
    </xf>
    <xf numFmtId="0" fontId="11" fillId="5" borderId="2" xfId="0" applyFont="1" applyFill="1" applyBorder="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workbookViewId="0">
      <selection activeCell="F22" sqref="F22"/>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31" t="s">
        <v>0</v>
      </c>
      <c r="B1" s="32"/>
      <c r="C1" s="32"/>
      <c r="D1" s="32"/>
      <c r="E1" s="32"/>
      <c r="F1" s="32"/>
    </row>
    <row r="3" spans="1:6" ht="18" x14ac:dyDescent="0.35">
      <c r="A3" s="1" t="s">
        <v>1</v>
      </c>
    </row>
    <row r="4" spans="1:6" x14ac:dyDescent="0.3">
      <c r="A4" s="2" t="s">
        <v>2</v>
      </c>
      <c r="C4" t="s">
        <v>3</v>
      </c>
    </row>
    <row r="5" spans="1:6" x14ac:dyDescent="0.3">
      <c r="A5" s="2" t="s">
        <v>4</v>
      </c>
      <c r="C5" t="s">
        <v>5</v>
      </c>
    </row>
    <row r="6" spans="1:6" x14ac:dyDescent="0.3">
      <c r="A6" s="2" t="s">
        <v>6</v>
      </c>
      <c r="C6" t="s">
        <v>7</v>
      </c>
    </row>
    <row r="7" spans="1:6" x14ac:dyDescent="0.3">
      <c r="A7" s="2" t="s">
        <v>8</v>
      </c>
      <c r="C7" t="s">
        <v>9</v>
      </c>
    </row>
    <row r="9" spans="1:6" ht="18" x14ac:dyDescent="0.35">
      <c r="A9" s="1" t="s">
        <v>10</v>
      </c>
    </row>
    <row r="10" spans="1:6" x14ac:dyDescent="0.3">
      <c r="A10" s="2" t="s">
        <v>11</v>
      </c>
      <c r="C10">
        <v>154</v>
      </c>
    </row>
    <row r="11" spans="1:6" x14ac:dyDescent="0.3">
      <c r="A11" s="2" t="s">
        <v>12</v>
      </c>
      <c r="C11" s="3">
        <v>30</v>
      </c>
    </row>
    <row r="12" spans="1:6" x14ac:dyDescent="0.3">
      <c r="A12" s="2" t="s">
        <v>14</v>
      </c>
      <c r="C12" s="4">
        <f>C11/C10</f>
        <v>0.19480519480519481</v>
      </c>
      <c r="E12" s="5" t="s">
        <v>15</v>
      </c>
    </row>
    <row r="13" spans="1:6" x14ac:dyDescent="0.3">
      <c r="A13" s="2" t="s">
        <v>16</v>
      </c>
      <c r="C13" s="3">
        <v>12</v>
      </c>
    </row>
    <row r="15" spans="1:6" ht="18" x14ac:dyDescent="0.35">
      <c r="A15" s="1" t="s">
        <v>18</v>
      </c>
    </row>
    <row r="16" spans="1:6" x14ac:dyDescent="0.3">
      <c r="A16" s="6" t="s">
        <v>19</v>
      </c>
      <c r="B16" s="6" t="s">
        <v>20</v>
      </c>
      <c r="C16" s="6" t="s">
        <v>21</v>
      </c>
      <c r="D16" s="6" t="s">
        <v>22</v>
      </c>
    </row>
    <row r="17" spans="1:4" ht="28.8" x14ac:dyDescent="0.3">
      <c r="A17" s="7" t="s">
        <v>23</v>
      </c>
      <c r="B17" s="7" t="s">
        <v>24</v>
      </c>
      <c r="C17" s="7" t="s">
        <v>359</v>
      </c>
      <c r="D17" s="7" t="s">
        <v>356</v>
      </c>
    </row>
    <row r="18" spans="1:4" x14ac:dyDescent="0.3">
      <c r="A18" s="7" t="s">
        <v>25</v>
      </c>
      <c r="B18" s="7" t="s">
        <v>26</v>
      </c>
      <c r="C18" s="7" t="s">
        <v>360</v>
      </c>
      <c r="D18" s="7" t="s">
        <v>27</v>
      </c>
    </row>
    <row r="19" spans="1:4" x14ac:dyDescent="0.3">
      <c r="A19" s="7" t="s">
        <v>28</v>
      </c>
      <c r="B19" s="7" t="s">
        <v>29</v>
      </c>
      <c r="C19" s="7" t="s">
        <v>361</v>
      </c>
      <c r="D19" s="7" t="s">
        <v>30</v>
      </c>
    </row>
    <row r="20" spans="1:4" x14ac:dyDescent="0.3">
      <c r="A20" s="7" t="s">
        <v>357</v>
      </c>
      <c r="B20" s="7" t="s">
        <v>358</v>
      </c>
      <c r="C20" s="7" t="s">
        <v>359</v>
      </c>
      <c r="D20" s="7" t="s">
        <v>362</v>
      </c>
    </row>
    <row r="21" spans="1:4" x14ac:dyDescent="0.3">
      <c r="A21" s="7" t="s">
        <v>31</v>
      </c>
      <c r="B21" s="7"/>
      <c r="C21" s="7"/>
      <c r="D21" s="7"/>
    </row>
    <row r="23" spans="1:4" ht="18" x14ac:dyDescent="0.35">
      <c r="A23" s="1" t="s">
        <v>32</v>
      </c>
    </row>
    <row r="24" spans="1:4" x14ac:dyDescent="0.3">
      <c r="A24" s="6" t="s">
        <v>33</v>
      </c>
      <c r="B24" s="6" t="s">
        <v>34</v>
      </c>
      <c r="C24" s="6" t="s">
        <v>35</v>
      </c>
    </row>
    <row r="25" spans="1:4" x14ac:dyDescent="0.3">
      <c r="A25" s="7" t="s">
        <v>36</v>
      </c>
      <c r="B25" s="8">
        <v>8</v>
      </c>
      <c r="C25" s="9" t="s">
        <v>37</v>
      </c>
    </row>
    <row r="26" spans="1:4" x14ac:dyDescent="0.3">
      <c r="A26" s="7" t="s">
        <v>38</v>
      </c>
      <c r="B26" s="8">
        <v>4</v>
      </c>
      <c r="C26" s="9" t="s">
        <v>37</v>
      </c>
    </row>
    <row r="27" spans="1:4" x14ac:dyDescent="0.3">
      <c r="A27" s="7" t="s">
        <v>39</v>
      </c>
      <c r="B27" s="8">
        <v>5</v>
      </c>
      <c r="C27" s="9" t="s">
        <v>37</v>
      </c>
    </row>
    <row r="28" spans="1:4" x14ac:dyDescent="0.3">
      <c r="A28" s="7" t="s">
        <v>40</v>
      </c>
      <c r="B28" s="8">
        <v>4</v>
      </c>
      <c r="C28" s="9" t="s">
        <v>37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5"/>
  <sheetViews>
    <sheetView topLeftCell="A35" workbookViewId="0">
      <selection activeCell="D5" sqref="D5"/>
    </sheetView>
  </sheetViews>
  <sheetFormatPr defaultRowHeight="15.6" x14ac:dyDescent="0.3"/>
  <cols>
    <col min="1" max="1" width="8" style="17" customWidth="1"/>
    <col min="2" max="3" width="18" style="17" customWidth="1"/>
    <col min="4" max="4" width="25" style="17" customWidth="1"/>
    <col min="5" max="5" width="30" style="17" customWidth="1"/>
    <col min="6" max="6" width="35" style="17" customWidth="1"/>
    <col min="7" max="7" width="50" style="17" customWidth="1"/>
    <col min="8" max="8" width="20" style="17" customWidth="1"/>
    <col min="9" max="16384" width="8.88671875" style="17"/>
  </cols>
  <sheetData>
    <row r="1" spans="1:8" x14ac:dyDescent="0.3">
      <c r="A1" s="35" t="s">
        <v>41</v>
      </c>
      <c r="B1" s="34"/>
      <c r="C1" s="34"/>
      <c r="D1" s="34"/>
      <c r="E1" s="34"/>
      <c r="F1" s="34"/>
      <c r="G1" s="34"/>
      <c r="H1" s="34"/>
    </row>
    <row r="2" spans="1:8" ht="30" customHeight="1" x14ac:dyDescent="0.3">
      <c r="A2" s="33" t="s">
        <v>42</v>
      </c>
      <c r="B2" s="34"/>
      <c r="C2" s="34"/>
      <c r="D2" s="34"/>
      <c r="E2" s="34"/>
      <c r="F2" s="34"/>
      <c r="G2" s="34"/>
      <c r="H2" s="34"/>
    </row>
    <row r="3" spans="1:8" ht="40.049999999999997" customHeight="1" x14ac:dyDescent="0.3">
      <c r="A3" s="18" t="s">
        <v>43</v>
      </c>
      <c r="B3" s="18" t="s">
        <v>44</v>
      </c>
      <c r="C3" s="18" t="s">
        <v>45</v>
      </c>
      <c r="D3" s="18" t="s">
        <v>46</v>
      </c>
      <c r="E3" s="18" t="s">
        <v>47</v>
      </c>
      <c r="F3" s="18" t="s">
        <v>48</v>
      </c>
      <c r="G3" s="18" t="s">
        <v>49</v>
      </c>
      <c r="H3" s="18" t="s">
        <v>50</v>
      </c>
    </row>
    <row r="4" spans="1:8" ht="100.05" customHeight="1" x14ac:dyDescent="0.3">
      <c r="A4" s="19">
        <v>1</v>
      </c>
      <c r="B4" s="19" t="s">
        <v>51</v>
      </c>
      <c r="C4" s="19" t="s">
        <v>40</v>
      </c>
      <c r="D4" s="19" t="s">
        <v>52</v>
      </c>
      <c r="E4" s="19" t="s">
        <v>53</v>
      </c>
      <c r="F4" s="19" t="s">
        <v>54</v>
      </c>
      <c r="G4" s="19" t="s">
        <v>55</v>
      </c>
      <c r="H4" s="19" t="s">
        <v>56</v>
      </c>
    </row>
    <row r="5" spans="1:8" ht="100.05" customHeight="1" x14ac:dyDescent="0.3">
      <c r="A5" s="19">
        <v>2</v>
      </c>
      <c r="B5" s="19" t="s">
        <v>57</v>
      </c>
      <c r="C5" s="19" t="s">
        <v>40</v>
      </c>
      <c r="D5" s="19" t="s">
        <v>58</v>
      </c>
      <c r="E5" s="19" t="s">
        <v>59</v>
      </c>
      <c r="F5" s="19" t="s">
        <v>60</v>
      </c>
      <c r="G5" s="19" t="s">
        <v>61</v>
      </c>
      <c r="H5" s="19" t="s">
        <v>62</v>
      </c>
    </row>
    <row r="6" spans="1:8" ht="100.05" customHeight="1" x14ac:dyDescent="0.3">
      <c r="A6" s="19">
        <v>3</v>
      </c>
      <c r="B6" s="19" t="s">
        <v>63</v>
      </c>
      <c r="C6" s="19" t="s">
        <v>36</v>
      </c>
      <c r="D6" s="19" t="s">
        <v>64</v>
      </c>
      <c r="E6" s="19" t="s">
        <v>65</v>
      </c>
      <c r="F6" s="19" t="s">
        <v>66</v>
      </c>
      <c r="G6" s="19" t="s">
        <v>67</v>
      </c>
      <c r="H6" s="19" t="s">
        <v>68</v>
      </c>
    </row>
    <row r="7" spans="1:8" ht="132" customHeight="1" x14ac:dyDescent="0.3">
      <c r="A7" s="19">
        <v>4</v>
      </c>
      <c r="B7" s="19" t="s">
        <v>57</v>
      </c>
      <c r="C7" s="19" t="s">
        <v>36</v>
      </c>
      <c r="D7" s="19" t="s">
        <v>132</v>
      </c>
      <c r="E7" s="19" t="s">
        <v>133</v>
      </c>
      <c r="F7" s="19" t="s">
        <v>134</v>
      </c>
      <c r="G7" s="19" t="s">
        <v>135</v>
      </c>
      <c r="H7" s="19" t="s">
        <v>136</v>
      </c>
    </row>
    <row r="8" spans="1:8" ht="109.2" x14ac:dyDescent="0.3">
      <c r="A8" s="19">
        <v>5</v>
      </c>
      <c r="B8" s="19" t="s">
        <v>57</v>
      </c>
      <c r="C8" s="19" t="s">
        <v>147</v>
      </c>
      <c r="D8" s="19" t="s">
        <v>138</v>
      </c>
      <c r="E8" s="19" t="s">
        <v>139</v>
      </c>
      <c r="F8" s="19" t="s">
        <v>140</v>
      </c>
      <c r="G8" s="19" t="s">
        <v>148</v>
      </c>
      <c r="H8" s="19" t="s">
        <v>141</v>
      </c>
    </row>
    <row r="9" spans="1:8" ht="60" customHeight="1" x14ac:dyDescent="0.3">
      <c r="A9" s="19">
        <v>6</v>
      </c>
      <c r="B9" s="19" t="s">
        <v>57</v>
      </c>
      <c r="C9" s="19" t="s">
        <v>142</v>
      </c>
      <c r="D9" s="19" t="s">
        <v>143</v>
      </c>
      <c r="E9" s="19" t="s">
        <v>144</v>
      </c>
      <c r="F9" s="19" t="s">
        <v>145</v>
      </c>
      <c r="G9" s="19" t="s">
        <v>149</v>
      </c>
      <c r="H9" s="19" t="s">
        <v>146</v>
      </c>
    </row>
    <row r="10" spans="1:8" ht="79.95" customHeight="1" x14ac:dyDescent="0.3">
      <c r="A10" s="36">
        <v>7</v>
      </c>
      <c r="B10" s="36" t="s">
        <v>51</v>
      </c>
      <c r="C10" s="36" t="s">
        <v>150</v>
      </c>
      <c r="D10" s="36" t="s">
        <v>151</v>
      </c>
      <c r="E10" s="36" t="s">
        <v>191</v>
      </c>
      <c r="F10" s="36" t="s">
        <v>192</v>
      </c>
      <c r="G10" s="20" t="s">
        <v>212</v>
      </c>
      <c r="H10" s="36" t="s">
        <v>152</v>
      </c>
    </row>
    <row r="11" spans="1:8" ht="79.95" customHeight="1" x14ac:dyDescent="0.3">
      <c r="A11" s="36"/>
      <c r="B11" s="36"/>
      <c r="C11" s="36"/>
      <c r="D11" s="36"/>
      <c r="E11" s="36"/>
      <c r="F11" s="36"/>
      <c r="G11" s="20" t="s">
        <v>213</v>
      </c>
      <c r="H11" s="36"/>
    </row>
    <row r="12" spans="1:8" ht="79.95" customHeight="1" x14ac:dyDescent="0.3">
      <c r="A12" s="36">
        <v>8</v>
      </c>
      <c r="B12" s="36" t="s">
        <v>57</v>
      </c>
      <c r="C12" s="36" t="s">
        <v>153</v>
      </c>
      <c r="D12" s="36" t="s">
        <v>154</v>
      </c>
      <c r="E12" s="36" t="s">
        <v>193</v>
      </c>
      <c r="F12" s="36" t="s">
        <v>194</v>
      </c>
      <c r="G12" s="20" t="s">
        <v>214</v>
      </c>
      <c r="H12" s="36" t="s">
        <v>155</v>
      </c>
    </row>
    <row r="13" spans="1:8" ht="79.95" customHeight="1" x14ac:dyDescent="0.3">
      <c r="A13" s="36"/>
      <c r="B13" s="36"/>
      <c r="C13" s="36"/>
      <c r="D13" s="36"/>
      <c r="E13" s="36"/>
      <c r="F13" s="36"/>
      <c r="G13" s="20" t="s">
        <v>215</v>
      </c>
      <c r="H13" s="36"/>
    </row>
    <row r="14" spans="1:8" ht="79.95" customHeight="1" x14ac:dyDescent="0.3">
      <c r="A14" s="36">
        <v>9</v>
      </c>
      <c r="B14" s="36" t="s">
        <v>51</v>
      </c>
      <c r="C14" s="36" t="s">
        <v>156</v>
      </c>
      <c r="D14" s="36" t="s">
        <v>157</v>
      </c>
      <c r="E14" s="36" t="s">
        <v>195</v>
      </c>
      <c r="F14" s="36" t="s">
        <v>196</v>
      </c>
      <c r="G14" s="20" t="s">
        <v>216</v>
      </c>
      <c r="H14" s="36" t="s">
        <v>158</v>
      </c>
    </row>
    <row r="15" spans="1:8" ht="79.95" customHeight="1" x14ac:dyDescent="0.3">
      <c r="A15" s="36"/>
      <c r="B15" s="36"/>
      <c r="C15" s="36"/>
      <c r="D15" s="36"/>
      <c r="E15" s="36"/>
      <c r="F15" s="36"/>
      <c r="G15" s="20" t="s">
        <v>217</v>
      </c>
      <c r="H15" s="36"/>
    </row>
    <row r="16" spans="1:8" ht="79.95" customHeight="1" x14ac:dyDescent="0.3">
      <c r="A16" s="36">
        <v>10</v>
      </c>
      <c r="B16" s="36" t="s">
        <v>51</v>
      </c>
      <c r="C16" s="36" t="s">
        <v>159</v>
      </c>
      <c r="D16" s="36" t="s">
        <v>160</v>
      </c>
      <c r="E16" s="36" t="s">
        <v>161</v>
      </c>
      <c r="F16" s="36" t="s">
        <v>197</v>
      </c>
      <c r="G16" s="20" t="s">
        <v>218</v>
      </c>
      <c r="H16" s="36" t="s">
        <v>162</v>
      </c>
    </row>
    <row r="17" spans="1:8" ht="79.95" customHeight="1" x14ac:dyDescent="0.3">
      <c r="A17" s="36"/>
      <c r="B17" s="36"/>
      <c r="C17" s="36"/>
      <c r="D17" s="36"/>
      <c r="E17" s="36"/>
      <c r="F17" s="36"/>
      <c r="G17" s="20" t="s">
        <v>219</v>
      </c>
      <c r="H17" s="36"/>
    </row>
    <row r="18" spans="1:8" ht="79.95" customHeight="1" x14ac:dyDescent="0.3">
      <c r="A18" s="36">
        <v>11</v>
      </c>
      <c r="B18" s="36" t="s">
        <v>51</v>
      </c>
      <c r="C18" s="36" t="s">
        <v>159</v>
      </c>
      <c r="D18" s="36" t="s">
        <v>163</v>
      </c>
      <c r="E18" s="36" t="s">
        <v>164</v>
      </c>
      <c r="F18" s="36" t="s">
        <v>165</v>
      </c>
      <c r="G18" s="20" t="s">
        <v>220</v>
      </c>
      <c r="H18" s="36" t="s">
        <v>166</v>
      </c>
    </row>
    <row r="19" spans="1:8" ht="79.95" customHeight="1" x14ac:dyDescent="0.3">
      <c r="A19" s="36"/>
      <c r="B19" s="36"/>
      <c r="C19" s="36"/>
      <c r="D19" s="36"/>
      <c r="E19" s="36"/>
      <c r="F19" s="36"/>
      <c r="G19" s="20" t="s">
        <v>221</v>
      </c>
      <c r="H19" s="36"/>
    </row>
    <row r="20" spans="1:8" ht="79.95" customHeight="1" x14ac:dyDescent="0.3">
      <c r="A20" s="36">
        <v>12</v>
      </c>
      <c r="B20" s="36" t="s">
        <v>57</v>
      </c>
      <c r="C20" s="36" t="s">
        <v>153</v>
      </c>
      <c r="D20" s="36" t="s">
        <v>167</v>
      </c>
      <c r="E20" s="36" t="s">
        <v>198</v>
      </c>
      <c r="F20" s="36" t="s">
        <v>199</v>
      </c>
      <c r="G20" s="20" t="s">
        <v>222</v>
      </c>
      <c r="H20" s="36" t="s">
        <v>168</v>
      </c>
    </row>
    <row r="21" spans="1:8" ht="79.95" customHeight="1" x14ac:dyDescent="0.3">
      <c r="A21" s="36"/>
      <c r="B21" s="36"/>
      <c r="C21" s="36"/>
      <c r="D21" s="36"/>
      <c r="E21" s="36"/>
      <c r="F21" s="36"/>
      <c r="G21" s="20" t="s">
        <v>223</v>
      </c>
      <c r="H21" s="36"/>
    </row>
    <row r="22" spans="1:8" ht="79.95" customHeight="1" x14ac:dyDescent="0.3">
      <c r="A22" s="36">
        <v>13</v>
      </c>
      <c r="B22" s="36" t="s">
        <v>57</v>
      </c>
      <c r="C22" s="36" t="s">
        <v>150</v>
      </c>
      <c r="D22" s="36" t="s">
        <v>169</v>
      </c>
      <c r="E22" s="36" t="s">
        <v>170</v>
      </c>
      <c r="F22" s="36" t="s">
        <v>171</v>
      </c>
      <c r="G22" s="20" t="s">
        <v>224</v>
      </c>
      <c r="H22" s="36" t="s">
        <v>172</v>
      </c>
    </row>
    <row r="23" spans="1:8" ht="79.95" customHeight="1" x14ac:dyDescent="0.3">
      <c r="A23" s="36"/>
      <c r="B23" s="36"/>
      <c r="C23" s="36"/>
      <c r="D23" s="36"/>
      <c r="E23" s="36"/>
      <c r="F23" s="36"/>
      <c r="G23" s="20" t="s">
        <v>225</v>
      </c>
      <c r="H23" s="36"/>
    </row>
    <row r="24" spans="1:8" ht="79.95" customHeight="1" x14ac:dyDescent="0.3">
      <c r="A24" s="36">
        <v>14</v>
      </c>
      <c r="B24" s="36" t="s">
        <v>63</v>
      </c>
      <c r="C24" s="36" t="s">
        <v>150</v>
      </c>
      <c r="D24" s="36" t="s">
        <v>173</v>
      </c>
      <c r="E24" s="36" t="s">
        <v>200</v>
      </c>
      <c r="F24" s="36" t="s">
        <v>201</v>
      </c>
      <c r="G24" s="20" t="s">
        <v>226</v>
      </c>
      <c r="H24" s="36" t="s">
        <v>174</v>
      </c>
    </row>
    <row r="25" spans="1:8" ht="79.95" customHeight="1" x14ac:dyDescent="0.3">
      <c r="A25" s="36"/>
      <c r="B25" s="36"/>
      <c r="C25" s="36"/>
      <c r="D25" s="36"/>
      <c r="E25" s="36"/>
      <c r="F25" s="36"/>
      <c r="G25" s="20" t="s">
        <v>227</v>
      </c>
      <c r="H25" s="36"/>
    </row>
    <row r="26" spans="1:8" ht="79.95" customHeight="1" x14ac:dyDescent="0.3">
      <c r="A26" s="36">
        <v>15</v>
      </c>
      <c r="B26" s="36" t="s">
        <v>51</v>
      </c>
      <c r="C26" s="36" t="s">
        <v>175</v>
      </c>
      <c r="D26" s="36" t="s">
        <v>176</v>
      </c>
      <c r="E26" s="36" t="s">
        <v>202</v>
      </c>
      <c r="F26" s="36" t="s">
        <v>177</v>
      </c>
      <c r="G26" s="20" t="s">
        <v>228</v>
      </c>
      <c r="H26" s="36" t="s">
        <v>178</v>
      </c>
    </row>
    <row r="27" spans="1:8" ht="31.2" x14ac:dyDescent="0.3">
      <c r="A27" s="36"/>
      <c r="B27" s="36"/>
      <c r="C27" s="36"/>
      <c r="D27" s="36"/>
      <c r="E27" s="36"/>
      <c r="F27" s="36"/>
      <c r="G27" s="20" t="s">
        <v>229</v>
      </c>
      <c r="H27" s="36"/>
    </row>
    <row r="28" spans="1:8" ht="62.4" x14ac:dyDescent="0.3">
      <c r="A28" s="20">
        <v>16</v>
      </c>
      <c r="B28" s="20" t="s">
        <v>57</v>
      </c>
      <c r="C28" s="20" t="s">
        <v>175</v>
      </c>
      <c r="D28" s="20" t="s">
        <v>203</v>
      </c>
      <c r="E28" s="20" t="s">
        <v>204</v>
      </c>
      <c r="F28" s="20" t="s">
        <v>205</v>
      </c>
      <c r="G28" s="20" t="s">
        <v>230</v>
      </c>
      <c r="H28" s="20" t="s">
        <v>178</v>
      </c>
    </row>
    <row r="29" spans="1:8" ht="78" x14ac:dyDescent="0.3">
      <c r="A29" s="36">
        <v>17</v>
      </c>
      <c r="B29" s="36" t="s">
        <v>51</v>
      </c>
      <c r="C29" s="36" t="s">
        <v>179</v>
      </c>
      <c r="D29" s="36" t="s">
        <v>180</v>
      </c>
      <c r="E29" s="36" t="s">
        <v>206</v>
      </c>
      <c r="F29" s="36" t="s">
        <v>207</v>
      </c>
      <c r="G29" s="20" t="s">
        <v>231</v>
      </c>
      <c r="H29" s="36" t="s">
        <v>181</v>
      </c>
    </row>
    <row r="30" spans="1:8" ht="31.2" x14ac:dyDescent="0.3">
      <c r="A30" s="36"/>
      <c r="B30" s="36"/>
      <c r="C30" s="36"/>
      <c r="D30" s="36"/>
      <c r="E30" s="36"/>
      <c r="F30" s="36"/>
      <c r="G30" s="20" t="s">
        <v>232</v>
      </c>
      <c r="H30" s="36"/>
    </row>
    <row r="31" spans="1:8" ht="78" x14ac:dyDescent="0.3">
      <c r="A31" s="36">
        <v>18</v>
      </c>
      <c r="B31" s="36" t="s">
        <v>57</v>
      </c>
      <c r="C31" s="36" t="s">
        <v>182</v>
      </c>
      <c r="D31" s="36" t="s">
        <v>183</v>
      </c>
      <c r="E31" s="36" t="s">
        <v>208</v>
      </c>
      <c r="F31" s="36" t="s">
        <v>184</v>
      </c>
      <c r="G31" s="20" t="s">
        <v>233</v>
      </c>
      <c r="H31" s="36" t="s">
        <v>185</v>
      </c>
    </row>
    <row r="32" spans="1:8" ht="31.2" x14ac:dyDescent="0.3">
      <c r="A32" s="36"/>
      <c r="B32" s="36"/>
      <c r="C32" s="36"/>
      <c r="D32" s="36"/>
      <c r="E32" s="36"/>
      <c r="F32" s="36"/>
      <c r="G32" s="20" t="s">
        <v>234</v>
      </c>
      <c r="H32" s="36"/>
    </row>
    <row r="33" spans="1:8" ht="62.4" x14ac:dyDescent="0.3">
      <c r="A33" s="36">
        <v>19</v>
      </c>
      <c r="B33" s="36" t="s">
        <v>63</v>
      </c>
      <c r="C33" s="36" t="s">
        <v>150</v>
      </c>
      <c r="D33" s="36" t="s">
        <v>186</v>
      </c>
      <c r="E33" s="36" t="s">
        <v>209</v>
      </c>
      <c r="F33" s="36" t="s">
        <v>210</v>
      </c>
      <c r="G33" s="20" t="s">
        <v>235</v>
      </c>
      <c r="H33" s="36" t="s">
        <v>187</v>
      </c>
    </row>
    <row r="34" spans="1:8" ht="46.8" x14ac:dyDescent="0.3">
      <c r="A34" s="36"/>
      <c r="B34" s="36"/>
      <c r="C34" s="36"/>
      <c r="D34" s="36"/>
      <c r="E34" s="36"/>
      <c r="F34" s="36"/>
      <c r="G34" s="20" t="s">
        <v>236</v>
      </c>
      <c r="H34" s="36"/>
    </row>
    <row r="35" spans="1:8" ht="75" customHeight="1" x14ac:dyDescent="0.3">
      <c r="A35" s="20">
        <v>20</v>
      </c>
      <c r="B35" s="20" t="s">
        <v>51</v>
      </c>
      <c r="C35" s="20" t="s">
        <v>153</v>
      </c>
      <c r="D35" s="20" t="s">
        <v>188</v>
      </c>
      <c r="E35" s="20" t="s">
        <v>211</v>
      </c>
      <c r="F35" s="20" t="s">
        <v>189</v>
      </c>
      <c r="G35" s="20" t="s">
        <v>237</v>
      </c>
      <c r="H35" s="20" t="s">
        <v>190</v>
      </c>
    </row>
    <row r="36" spans="1:8" ht="46.8" x14ac:dyDescent="0.3">
      <c r="A36" s="30">
        <v>21</v>
      </c>
      <c r="B36" s="29" t="s">
        <v>283</v>
      </c>
      <c r="C36" s="29" t="s">
        <v>284</v>
      </c>
      <c r="D36" s="29" t="s">
        <v>285</v>
      </c>
      <c r="E36" s="29" t="s">
        <v>286</v>
      </c>
      <c r="F36" s="29" t="s">
        <v>287</v>
      </c>
      <c r="G36" s="29" t="s">
        <v>288</v>
      </c>
      <c r="H36" s="29" t="s">
        <v>289</v>
      </c>
    </row>
    <row r="37" spans="1:8" ht="46.8" x14ac:dyDescent="0.3">
      <c r="A37" s="30">
        <v>22</v>
      </c>
      <c r="B37" s="29" t="s">
        <v>290</v>
      </c>
      <c r="C37" s="29" t="s">
        <v>284</v>
      </c>
      <c r="D37" s="29" t="s">
        <v>291</v>
      </c>
      <c r="E37" s="29" t="s">
        <v>292</v>
      </c>
      <c r="F37" s="29" t="s">
        <v>293</v>
      </c>
      <c r="G37" s="29" t="s">
        <v>294</v>
      </c>
      <c r="H37" s="29" t="s">
        <v>289</v>
      </c>
    </row>
    <row r="38" spans="1:8" ht="31.2" x14ac:dyDescent="0.3">
      <c r="A38" s="30">
        <v>23</v>
      </c>
      <c r="B38" s="29" t="s">
        <v>295</v>
      </c>
      <c r="C38" s="29" t="s">
        <v>296</v>
      </c>
      <c r="D38" s="29" t="s">
        <v>297</v>
      </c>
      <c r="E38" s="29" t="s">
        <v>298</v>
      </c>
      <c r="F38" s="29" t="s">
        <v>299</v>
      </c>
      <c r="G38" s="29" t="s">
        <v>300</v>
      </c>
      <c r="H38" s="29" t="s">
        <v>301</v>
      </c>
    </row>
    <row r="39" spans="1:8" ht="46.8" x14ac:dyDescent="0.3">
      <c r="A39" s="30">
        <v>24</v>
      </c>
      <c r="B39" s="29" t="s">
        <v>302</v>
      </c>
      <c r="C39" s="29" t="s">
        <v>303</v>
      </c>
      <c r="D39" s="29" t="s">
        <v>335</v>
      </c>
      <c r="E39" s="29" t="s">
        <v>304</v>
      </c>
      <c r="F39" s="29" t="s">
        <v>336</v>
      </c>
      <c r="G39" s="29" t="s">
        <v>305</v>
      </c>
      <c r="H39" s="29" t="s">
        <v>306</v>
      </c>
    </row>
    <row r="40" spans="1:8" ht="31.2" x14ac:dyDescent="0.3">
      <c r="A40" s="30">
        <v>25</v>
      </c>
      <c r="B40" s="29" t="s">
        <v>302</v>
      </c>
      <c r="C40" s="29" t="s">
        <v>307</v>
      </c>
      <c r="D40" s="29" t="s">
        <v>308</v>
      </c>
      <c r="E40" s="29" t="s">
        <v>309</v>
      </c>
      <c r="F40" s="29" t="s">
        <v>337</v>
      </c>
      <c r="G40" s="29" t="s">
        <v>310</v>
      </c>
      <c r="H40" s="29" t="s">
        <v>311</v>
      </c>
    </row>
    <row r="41" spans="1:8" ht="31.2" x14ac:dyDescent="0.3">
      <c r="A41" s="30">
        <v>26</v>
      </c>
      <c r="B41" s="29" t="s">
        <v>302</v>
      </c>
      <c r="C41" s="29" t="s">
        <v>312</v>
      </c>
      <c r="D41" s="29" t="s">
        <v>313</v>
      </c>
      <c r="E41" s="29" t="s">
        <v>314</v>
      </c>
      <c r="F41" s="29" t="s">
        <v>338</v>
      </c>
      <c r="G41" s="29" t="s">
        <v>315</v>
      </c>
      <c r="H41" s="29" t="s">
        <v>316</v>
      </c>
    </row>
    <row r="42" spans="1:8" ht="46.8" x14ac:dyDescent="0.3">
      <c r="A42" s="30">
        <v>27</v>
      </c>
      <c r="B42" s="29" t="s">
        <v>317</v>
      </c>
      <c r="C42" s="29" t="s">
        <v>312</v>
      </c>
      <c r="D42" s="29" t="s">
        <v>318</v>
      </c>
      <c r="E42" s="29" t="s">
        <v>319</v>
      </c>
      <c r="F42" s="29" t="s">
        <v>339</v>
      </c>
      <c r="G42" s="29" t="s">
        <v>320</v>
      </c>
      <c r="H42" s="29" t="s">
        <v>316</v>
      </c>
    </row>
    <row r="43" spans="1:8" ht="46.8" x14ac:dyDescent="0.3">
      <c r="A43" s="30">
        <v>28</v>
      </c>
      <c r="B43" s="29" t="s">
        <v>321</v>
      </c>
      <c r="C43" s="29" t="s">
        <v>322</v>
      </c>
      <c r="D43" s="29" t="s">
        <v>323</v>
      </c>
      <c r="E43" s="29" t="s">
        <v>340</v>
      </c>
      <c r="F43" s="29" t="s">
        <v>341</v>
      </c>
      <c r="G43" s="29" t="s">
        <v>324</v>
      </c>
      <c r="H43" s="29" t="s">
        <v>311</v>
      </c>
    </row>
    <row r="44" spans="1:8" ht="31.2" x14ac:dyDescent="0.3">
      <c r="A44" s="30">
        <v>29</v>
      </c>
      <c r="B44" s="29" t="s">
        <v>325</v>
      </c>
      <c r="C44" s="29" t="s">
        <v>302</v>
      </c>
      <c r="D44" s="29" t="s">
        <v>326</v>
      </c>
      <c r="E44" s="29" t="s">
        <v>327</v>
      </c>
      <c r="F44" s="29" t="s">
        <v>328</v>
      </c>
      <c r="G44" s="29" t="s">
        <v>329</v>
      </c>
      <c r="H44" s="29" t="s">
        <v>289</v>
      </c>
    </row>
    <row r="45" spans="1:8" ht="31.2" x14ac:dyDescent="0.3">
      <c r="A45" s="30">
        <v>30</v>
      </c>
      <c r="B45" s="29" t="s">
        <v>330</v>
      </c>
      <c r="C45" s="29" t="s">
        <v>312</v>
      </c>
      <c r="D45" s="29" t="s">
        <v>331</v>
      </c>
      <c r="E45" s="29" t="s">
        <v>332</v>
      </c>
      <c r="F45" s="29" t="s">
        <v>333</v>
      </c>
      <c r="G45" s="29" t="s">
        <v>334</v>
      </c>
      <c r="H45" s="29" t="s">
        <v>316</v>
      </c>
    </row>
  </sheetData>
  <mergeCells count="86">
    <mergeCell ref="F33:F34"/>
    <mergeCell ref="H33:H34"/>
    <mergeCell ref="A33:A34"/>
    <mergeCell ref="B33:B34"/>
    <mergeCell ref="C33:C34"/>
    <mergeCell ref="D33:D34"/>
    <mergeCell ref="E33:E34"/>
    <mergeCell ref="F29:F30"/>
    <mergeCell ref="H29:H30"/>
    <mergeCell ref="A31:A32"/>
    <mergeCell ref="B31:B32"/>
    <mergeCell ref="C31:C32"/>
    <mergeCell ref="D31:D32"/>
    <mergeCell ref="E31:E32"/>
    <mergeCell ref="F31:F32"/>
    <mergeCell ref="H31:H32"/>
    <mergeCell ref="A29:A30"/>
    <mergeCell ref="B29:B30"/>
    <mergeCell ref="C29:C30"/>
    <mergeCell ref="D29:D30"/>
    <mergeCell ref="E29:E30"/>
    <mergeCell ref="F24:F25"/>
    <mergeCell ref="H24:H25"/>
    <mergeCell ref="A26:A27"/>
    <mergeCell ref="B26:B27"/>
    <mergeCell ref="C26:C27"/>
    <mergeCell ref="D26:D27"/>
    <mergeCell ref="E26:E27"/>
    <mergeCell ref="F26:F27"/>
    <mergeCell ref="H26:H27"/>
    <mergeCell ref="A24:A25"/>
    <mergeCell ref="B24:B25"/>
    <mergeCell ref="C24:C25"/>
    <mergeCell ref="D24:D25"/>
    <mergeCell ref="E24:E25"/>
    <mergeCell ref="F20:F21"/>
    <mergeCell ref="H20:H21"/>
    <mergeCell ref="A22:A23"/>
    <mergeCell ref="B22:B23"/>
    <mergeCell ref="C22:C23"/>
    <mergeCell ref="D22:D23"/>
    <mergeCell ref="E22:E23"/>
    <mergeCell ref="F22:F23"/>
    <mergeCell ref="H22:H23"/>
    <mergeCell ref="A20:A21"/>
    <mergeCell ref="B20:B21"/>
    <mergeCell ref="C20:C21"/>
    <mergeCell ref="D20:D21"/>
    <mergeCell ref="E20:E21"/>
    <mergeCell ref="F16:F17"/>
    <mergeCell ref="H16:H17"/>
    <mergeCell ref="A18:A19"/>
    <mergeCell ref="B18:B19"/>
    <mergeCell ref="C18:C19"/>
    <mergeCell ref="D18:D19"/>
    <mergeCell ref="E18:E19"/>
    <mergeCell ref="F18:F19"/>
    <mergeCell ref="H18:H19"/>
    <mergeCell ref="A16:A17"/>
    <mergeCell ref="B16:B17"/>
    <mergeCell ref="C16:C17"/>
    <mergeCell ref="D16:D17"/>
    <mergeCell ref="E16:E17"/>
    <mergeCell ref="F12:F13"/>
    <mergeCell ref="H12:H13"/>
    <mergeCell ref="A14:A15"/>
    <mergeCell ref="B14:B15"/>
    <mergeCell ref="C14:C15"/>
    <mergeCell ref="D14:D15"/>
    <mergeCell ref="E14:E15"/>
    <mergeCell ref="F14:F15"/>
    <mergeCell ref="H14:H15"/>
    <mergeCell ref="A12:A13"/>
    <mergeCell ref="B12:B13"/>
    <mergeCell ref="C12:C13"/>
    <mergeCell ref="D12:D13"/>
    <mergeCell ref="E12:E13"/>
    <mergeCell ref="A2:H2"/>
    <mergeCell ref="A1:H1"/>
    <mergeCell ref="A10:A11"/>
    <mergeCell ref="B10:B11"/>
    <mergeCell ref="C10:C11"/>
    <mergeCell ref="D10:D11"/>
    <mergeCell ref="E10:E11"/>
    <mergeCell ref="F10:F11"/>
    <mergeCell ref="H10:H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D16" sqref="D16"/>
    </sheetView>
  </sheetViews>
  <sheetFormatPr defaultRowHeight="14.4" x14ac:dyDescent="0.3"/>
  <cols>
    <col min="1" max="1" width="12" customWidth="1"/>
    <col min="2" max="2" width="22" customWidth="1"/>
    <col min="3" max="6" width="30" customWidth="1"/>
  </cols>
  <sheetData>
    <row r="1" spans="1:6" ht="15.6" x14ac:dyDescent="0.3">
      <c r="A1" s="38" t="s">
        <v>69</v>
      </c>
      <c r="B1" s="34"/>
      <c r="C1" s="34"/>
      <c r="D1" s="34"/>
      <c r="E1" s="34"/>
      <c r="F1" s="34"/>
    </row>
    <row r="2" spans="1:6" ht="15.6" x14ac:dyDescent="0.3">
      <c r="A2" s="37" t="s">
        <v>70</v>
      </c>
      <c r="B2" s="34"/>
      <c r="C2" s="34"/>
      <c r="D2" s="34"/>
      <c r="E2" s="34"/>
      <c r="F2" s="34"/>
    </row>
    <row r="3" spans="1:6" ht="40.049999999999997" customHeight="1" x14ac:dyDescent="0.3">
      <c r="A3" s="23" t="s">
        <v>71</v>
      </c>
      <c r="B3" s="23" t="s">
        <v>72</v>
      </c>
      <c r="C3" s="23" t="s">
        <v>73</v>
      </c>
      <c r="D3" s="23" t="s">
        <v>74</v>
      </c>
      <c r="E3" s="23" t="s">
        <v>75</v>
      </c>
      <c r="F3" s="23" t="s">
        <v>76</v>
      </c>
    </row>
    <row r="4" spans="1:6" ht="60" customHeight="1" x14ac:dyDescent="0.3">
      <c r="A4" s="22">
        <v>3</v>
      </c>
      <c r="B4" s="22" t="s">
        <v>77</v>
      </c>
      <c r="C4" s="22" t="s">
        <v>78</v>
      </c>
      <c r="D4" s="22" t="s">
        <v>79</v>
      </c>
      <c r="E4" s="22" t="s">
        <v>80</v>
      </c>
      <c r="F4" s="22" t="s">
        <v>81</v>
      </c>
    </row>
    <row r="5" spans="1:6" ht="93.6" x14ac:dyDescent="0.3">
      <c r="A5" s="22">
        <v>5</v>
      </c>
      <c r="B5" s="22" t="s">
        <v>137</v>
      </c>
      <c r="C5" s="22" t="s">
        <v>138</v>
      </c>
      <c r="D5" s="22" t="s">
        <v>139</v>
      </c>
      <c r="E5" s="22" t="s">
        <v>140</v>
      </c>
      <c r="F5" s="22" t="s">
        <v>141</v>
      </c>
    </row>
    <row r="6" spans="1:6" ht="60" customHeight="1" x14ac:dyDescent="0.3">
      <c r="A6" s="22">
        <v>6</v>
      </c>
      <c r="B6" s="22" t="s">
        <v>142</v>
      </c>
      <c r="C6" s="22" t="s">
        <v>143</v>
      </c>
      <c r="D6" s="22" t="s">
        <v>144</v>
      </c>
      <c r="E6" s="22" t="s">
        <v>145</v>
      </c>
      <c r="F6" s="22" t="s">
        <v>146</v>
      </c>
    </row>
    <row r="7" spans="1:6" ht="60" customHeight="1" x14ac:dyDescent="0.3">
      <c r="A7" s="20">
        <v>7</v>
      </c>
      <c r="B7" s="20" t="s">
        <v>92</v>
      </c>
      <c r="C7" s="20" t="s">
        <v>249</v>
      </c>
      <c r="D7" s="20" t="s">
        <v>238</v>
      </c>
      <c r="E7" s="20" t="s">
        <v>250</v>
      </c>
      <c r="F7" s="20" t="s">
        <v>251</v>
      </c>
    </row>
    <row r="8" spans="1:6" ht="60" customHeight="1" x14ac:dyDescent="0.3">
      <c r="A8" s="20">
        <v>8</v>
      </c>
      <c r="B8" s="20" t="s">
        <v>239</v>
      </c>
      <c r="C8" s="20" t="s">
        <v>252</v>
      </c>
      <c r="D8" s="20" t="s">
        <v>253</v>
      </c>
      <c r="E8" s="20" t="s">
        <v>240</v>
      </c>
      <c r="F8" s="20" t="s">
        <v>254</v>
      </c>
    </row>
    <row r="9" spans="1:6" ht="60" customHeight="1" x14ac:dyDescent="0.3">
      <c r="A9" s="20">
        <v>9</v>
      </c>
      <c r="B9" s="20" t="s">
        <v>241</v>
      </c>
      <c r="C9" s="20" t="s">
        <v>255</v>
      </c>
      <c r="D9" s="20" t="s">
        <v>242</v>
      </c>
      <c r="E9" s="20" t="s">
        <v>256</v>
      </c>
      <c r="F9" s="20" t="s">
        <v>257</v>
      </c>
    </row>
    <row r="10" spans="1:6" ht="60" customHeight="1" x14ac:dyDescent="0.3">
      <c r="A10" s="20">
        <v>13</v>
      </c>
      <c r="B10" s="20" t="s">
        <v>92</v>
      </c>
      <c r="C10" s="20" t="s">
        <v>243</v>
      </c>
      <c r="D10" s="20" t="s">
        <v>244</v>
      </c>
      <c r="E10" s="20" t="s">
        <v>245</v>
      </c>
      <c r="F10" s="20" t="s">
        <v>246</v>
      </c>
    </row>
    <row r="11" spans="1:6" ht="60" customHeight="1" x14ac:dyDescent="0.3">
      <c r="A11" s="20">
        <v>17</v>
      </c>
      <c r="B11" s="20" t="s">
        <v>98</v>
      </c>
      <c r="C11" s="20" t="s">
        <v>258</v>
      </c>
      <c r="D11" s="20" t="s">
        <v>259</v>
      </c>
      <c r="E11" s="20" t="s">
        <v>247</v>
      </c>
      <c r="F11" s="20" t="s">
        <v>260</v>
      </c>
    </row>
    <row r="12" spans="1:6" ht="60" customHeight="1" x14ac:dyDescent="0.3">
      <c r="A12" s="20">
        <v>22</v>
      </c>
      <c r="B12" s="20" t="s">
        <v>92</v>
      </c>
      <c r="C12" s="20" t="s">
        <v>261</v>
      </c>
      <c r="D12" s="20" t="s">
        <v>248</v>
      </c>
      <c r="E12" s="20" t="s">
        <v>262</v>
      </c>
      <c r="F12" s="20" t="s">
        <v>263</v>
      </c>
    </row>
    <row r="13" spans="1:6" ht="60" customHeight="1" x14ac:dyDescent="0.3">
      <c r="A13" s="30">
        <v>24</v>
      </c>
      <c r="B13" s="29" t="s">
        <v>342</v>
      </c>
      <c r="C13" s="29" t="s">
        <v>351</v>
      </c>
      <c r="D13" s="29" t="s">
        <v>343</v>
      </c>
      <c r="E13" s="29" t="s">
        <v>344</v>
      </c>
      <c r="F13" s="29" t="s">
        <v>345</v>
      </c>
    </row>
    <row r="14" spans="1:6" ht="60" customHeight="1" x14ac:dyDescent="0.3">
      <c r="A14" s="30">
        <v>25</v>
      </c>
      <c r="B14" s="29" t="s">
        <v>342</v>
      </c>
      <c r="C14" s="29" t="s">
        <v>352</v>
      </c>
      <c r="D14" s="29" t="s">
        <v>353</v>
      </c>
      <c r="E14" s="29" t="s">
        <v>346</v>
      </c>
      <c r="F14" s="29" t="s">
        <v>347</v>
      </c>
    </row>
    <row r="15" spans="1:6" ht="60" customHeight="1" x14ac:dyDescent="0.3">
      <c r="A15" s="30">
        <v>29</v>
      </c>
      <c r="B15" s="29" t="s">
        <v>348</v>
      </c>
      <c r="C15" s="29" t="s">
        <v>354</v>
      </c>
      <c r="D15" s="29" t="s">
        <v>355</v>
      </c>
      <c r="E15" s="29" t="s">
        <v>349</v>
      </c>
      <c r="F15" s="20" t="s">
        <v>350</v>
      </c>
    </row>
    <row r="16" spans="1:6" ht="60" customHeight="1" x14ac:dyDescent="0.3">
      <c r="A16" s="21"/>
      <c r="B16" s="21"/>
      <c r="C16" s="21"/>
      <c r="D16" s="21"/>
      <c r="E16" s="21"/>
      <c r="F16" s="21"/>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x14ac:dyDescent="0.35">
      <c r="A30" s="1" t="s">
        <v>82</v>
      </c>
    </row>
    <row r="31" spans="1:6" x14ac:dyDescent="0.3">
      <c r="A31" s="10" t="s">
        <v>83</v>
      </c>
      <c r="B31" s="10" t="s">
        <v>84</v>
      </c>
      <c r="C31" s="10" t="s">
        <v>85</v>
      </c>
    </row>
    <row r="32" spans="1:6" ht="28.8" x14ac:dyDescent="0.3">
      <c r="A32" s="7" t="s">
        <v>86</v>
      </c>
      <c r="B32" s="7" t="s">
        <v>87</v>
      </c>
      <c r="C32" s="7" t="s">
        <v>88</v>
      </c>
    </row>
    <row r="33" spans="1:3" ht="28.8" x14ac:dyDescent="0.3">
      <c r="A33" s="7" t="s">
        <v>89</v>
      </c>
      <c r="B33" s="7" t="s">
        <v>90</v>
      </c>
      <c r="C33" s="7" t="s">
        <v>91</v>
      </c>
    </row>
    <row r="34" spans="1:3" ht="28.8" x14ac:dyDescent="0.3">
      <c r="A34" s="7" t="s">
        <v>92</v>
      </c>
      <c r="B34" s="7" t="s">
        <v>93</v>
      </c>
      <c r="C34" s="7" t="s">
        <v>94</v>
      </c>
    </row>
    <row r="35" spans="1:3" ht="28.8" x14ac:dyDescent="0.3">
      <c r="A35" s="7" t="s">
        <v>95</v>
      </c>
      <c r="B35" s="7" t="s">
        <v>96</v>
      </c>
      <c r="C35" s="7" t="s">
        <v>97</v>
      </c>
    </row>
    <row r="36" spans="1:3" ht="43.2" x14ac:dyDescent="0.3">
      <c r="A36" s="7" t="s">
        <v>98</v>
      </c>
      <c r="B36" s="7" t="s">
        <v>99</v>
      </c>
      <c r="C36" s="7" t="s">
        <v>100</v>
      </c>
    </row>
  </sheetData>
  <mergeCells count="2">
    <mergeCell ref="A2:F2"/>
    <mergeCell ref="A1:F1"/>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C8" sqref="C8"/>
    </sheetView>
  </sheetViews>
  <sheetFormatPr defaultRowHeight="14.4" x14ac:dyDescent="0.3"/>
  <cols>
    <col min="1" max="1" width="8" customWidth="1"/>
    <col min="2" max="2" width="60" customWidth="1"/>
    <col min="3" max="3" width="23.21875" customWidth="1"/>
    <col min="4" max="4" width="41.44140625" customWidth="1"/>
  </cols>
  <sheetData>
    <row r="1" spans="1:4" x14ac:dyDescent="0.3">
      <c r="A1" s="31" t="s">
        <v>101</v>
      </c>
      <c r="B1" s="32"/>
      <c r="C1" s="32"/>
      <c r="D1" s="32"/>
    </row>
    <row r="2" spans="1:4" x14ac:dyDescent="0.3">
      <c r="A2" s="39" t="s">
        <v>102</v>
      </c>
      <c r="B2" s="32"/>
      <c r="C2" s="32"/>
      <c r="D2" s="32"/>
    </row>
    <row r="4" spans="1:4" ht="18" x14ac:dyDescent="0.35">
      <c r="A4" s="1" t="s">
        <v>103</v>
      </c>
    </row>
    <row r="5" spans="1:4" x14ac:dyDescent="0.3">
      <c r="A5" s="6" t="s">
        <v>104</v>
      </c>
      <c r="B5" s="11" t="s">
        <v>105</v>
      </c>
      <c r="C5" s="6" t="s">
        <v>106</v>
      </c>
      <c r="D5" s="11" t="s">
        <v>107</v>
      </c>
    </row>
    <row r="6" spans="1:4" ht="27.6" x14ac:dyDescent="0.3">
      <c r="A6" s="12" t="s">
        <v>17</v>
      </c>
      <c r="B6" s="13" t="s">
        <v>108</v>
      </c>
      <c r="C6" s="12" t="s">
        <v>109</v>
      </c>
      <c r="D6" s="24" t="s">
        <v>264</v>
      </c>
    </row>
    <row r="7" spans="1:4" ht="27.6" x14ac:dyDescent="0.3">
      <c r="A7" s="12" t="s">
        <v>110</v>
      </c>
      <c r="B7" s="13" t="s">
        <v>111</v>
      </c>
      <c r="C7" s="12" t="s">
        <v>109</v>
      </c>
      <c r="D7" s="24" t="s">
        <v>265</v>
      </c>
    </row>
    <row r="8" spans="1:4" ht="27.6" x14ac:dyDescent="0.3">
      <c r="A8" s="12" t="s">
        <v>13</v>
      </c>
      <c r="B8" s="13" t="s">
        <v>112</v>
      </c>
      <c r="C8" s="12" t="s">
        <v>109</v>
      </c>
      <c r="D8" s="24" t="s">
        <v>266</v>
      </c>
    </row>
    <row r="9" spans="1:4" ht="27.6" x14ac:dyDescent="0.3">
      <c r="A9" s="12" t="s">
        <v>113</v>
      </c>
      <c r="B9" s="13" t="s">
        <v>114</v>
      </c>
      <c r="C9" s="12" t="s">
        <v>109</v>
      </c>
      <c r="D9" s="24" t="s">
        <v>267</v>
      </c>
    </row>
    <row r="10" spans="1:4" ht="27.6" x14ac:dyDescent="0.3">
      <c r="A10" s="12" t="s">
        <v>115</v>
      </c>
      <c r="B10" s="13" t="s">
        <v>116</v>
      </c>
      <c r="C10" s="12" t="s">
        <v>109</v>
      </c>
      <c r="D10" s="24" t="s">
        <v>268</v>
      </c>
    </row>
    <row r="12" spans="1:4" ht="18" x14ac:dyDescent="0.35">
      <c r="A12" s="1" t="s">
        <v>117</v>
      </c>
    </row>
    <row r="13" spans="1:4" x14ac:dyDescent="0.3">
      <c r="A13" s="6" t="s">
        <v>104</v>
      </c>
      <c r="B13" s="11" t="s">
        <v>105</v>
      </c>
      <c r="C13" s="6" t="s">
        <v>106</v>
      </c>
      <c r="D13" s="11" t="s">
        <v>118</v>
      </c>
    </row>
    <row r="14" spans="1:4" x14ac:dyDescent="0.3">
      <c r="A14" s="12" t="s">
        <v>17</v>
      </c>
      <c r="B14" s="13" t="s">
        <v>119</v>
      </c>
      <c r="C14" s="12" t="s">
        <v>109</v>
      </c>
      <c r="D14" s="24" t="s">
        <v>269</v>
      </c>
    </row>
    <row r="15" spans="1:4" x14ac:dyDescent="0.3">
      <c r="A15" s="12" t="s">
        <v>110</v>
      </c>
      <c r="B15" s="13" t="s">
        <v>120</v>
      </c>
      <c r="C15" s="12" t="s">
        <v>109</v>
      </c>
      <c r="D15" t="s">
        <v>270</v>
      </c>
    </row>
    <row r="16" spans="1:4" x14ac:dyDescent="0.3">
      <c r="A16" s="12" t="s">
        <v>13</v>
      </c>
      <c r="B16" s="13" t="s">
        <v>121</v>
      </c>
      <c r="C16" s="12" t="s">
        <v>109</v>
      </c>
      <c r="D16" t="s">
        <v>271</v>
      </c>
    </row>
    <row r="17" spans="1:4" ht="27.6" x14ac:dyDescent="0.3">
      <c r="A17" s="12" t="s">
        <v>113</v>
      </c>
      <c r="B17" s="13" t="s">
        <v>122</v>
      </c>
      <c r="C17" s="12" t="s">
        <v>109</v>
      </c>
      <c r="D17" s="24" t="s">
        <v>272</v>
      </c>
    </row>
    <row r="18" spans="1:4" ht="27.6" x14ac:dyDescent="0.3">
      <c r="A18" s="12" t="s">
        <v>115</v>
      </c>
      <c r="B18" s="13" t="s">
        <v>123</v>
      </c>
      <c r="C18" s="12" t="s">
        <v>109</v>
      </c>
      <c r="D18" s="24" t="s">
        <v>273</v>
      </c>
    </row>
    <row r="20" spans="1:4" ht="15.6" x14ac:dyDescent="0.3">
      <c r="A20" s="14" t="s">
        <v>124</v>
      </c>
    </row>
    <row r="21" spans="1:4" x14ac:dyDescent="0.3">
      <c r="A21" s="15" t="s">
        <v>125</v>
      </c>
    </row>
    <row r="22" spans="1:4" x14ac:dyDescent="0.3">
      <c r="A22" s="15" t="s">
        <v>126</v>
      </c>
    </row>
    <row r="25" spans="1:4" ht="18" x14ac:dyDescent="0.35">
      <c r="A25" s="1" t="s">
        <v>127</v>
      </c>
    </row>
    <row r="26" spans="1:4" x14ac:dyDescent="0.3">
      <c r="A26" s="16" t="s">
        <v>128</v>
      </c>
    </row>
    <row r="27" spans="1:4" x14ac:dyDescent="0.3">
      <c r="A27" s="27" t="s">
        <v>43</v>
      </c>
      <c r="B27" s="28" t="s">
        <v>129</v>
      </c>
      <c r="C27" s="28" t="s">
        <v>130</v>
      </c>
      <c r="D27" s="28" t="s">
        <v>131</v>
      </c>
    </row>
    <row r="28" spans="1:4" ht="62.4" x14ac:dyDescent="0.3">
      <c r="A28" s="25">
        <v>1</v>
      </c>
      <c r="B28" s="26" t="s">
        <v>276</v>
      </c>
      <c r="C28" s="26" t="s">
        <v>274</v>
      </c>
      <c r="D28" s="26" t="s">
        <v>277</v>
      </c>
    </row>
    <row r="29" spans="1:4" ht="62.4" x14ac:dyDescent="0.3">
      <c r="A29" s="25">
        <v>2</v>
      </c>
      <c r="B29" s="26" t="s">
        <v>278</v>
      </c>
      <c r="C29" s="26" t="s">
        <v>279</v>
      </c>
      <c r="D29" s="26" t="s">
        <v>280</v>
      </c>
    </row>
    <row r="30" spans="1:4" ht="78" x14ac:dyDescent="0.3">
      <c r="A30" s="25">
        <v>3</v>
      </c>
      <c r="B30" s="26" t="s">
        <v>281</v>
      </c>
      <c r="C30" s="26" t="s">
        <v>282</v>
      </c>
      <c r="D30" s="26" t="s">
        <v>275</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Nghia Dao</cp:lastModifiedBy>
  <dcterms:created xsi:type="dcterms:W3CDTF">2026-05-07T22:28:42Z</dcterms:created>
  <dcterms:modified xsi:type="dcterms:W3CDTF">2026-07-23T14:58:24Z</dcterms:modified>
</cp:coreProperties>
</file>